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1">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 numFmtId="174" formatCode="0.0"/>
  </numFmts>
  <fonts count="38">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
      <i val="1"/>
      <sz val="9"/>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23">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2" fontId="0" fillId="0" borderId="0" pivotButton="0" quotePrefix="0" xfId="0"/>
    <xf numFmtId="172"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xf numFmtId="169" fontId="0" fillId="0" borderId="0" pivotButton="0" quotePrefix="0" xfId="0"/>
    <xf numFmtId="2" fontId="0" fillId="0" borderId="0" pivotButton="0" quotePrefix="0" xfId="0"/>
    <xf numFmtId="174" fontId="0" fillId="0" borderId="0" pivotButton="0" quotePrefix="0" xfId="0"/>
    <xf numFmtId="174" fontId="10" fillId="4" borderId="0" pivotButton="0" quotePrefix="0" xfId="1"/>
    <xf numFmtId="0" fontId="37" fillId="0" borderId="0" applyAlignment="1" pivotButton="0" quotePrefix="0" xfId="0">
      <alignment horizontal="left" indent="1"/>
    </xf>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28"/>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$J$76</f>
        <v>245.09</v>
      </c>
      <c r="M76" s="342">
        <f>L76</f>
        <v>245.09</v>
      </c>
      <c r="N76" s="342">
        <f>M76</f>
        <v>245.09</v>
      </c>
      <c r="O76" s="342">
        <f>N76</f>
        <v>245.09</v>
      </c>
      <c r="P76" s="342">
        <f>O76</f>
        <v>245.09</v>
      </c>
      <c r="Q76" s="342">
        <f>P76</f>
        <v>245.09</v>
      </c>
      <c r="R76" s="342">
        <f>Q76</f>
        <v>245.09</v>
      </c>
      <c r="S76" s="342">
        <f>R76</f>
        <v>245.09</v>
      </c>
      <c r="T76" s="342">
        <f>S76</f>
        <v>245.09</v>
      </c>
      <c r="U76" s="342">
        <f>T76</f>
        <v>245.09</v>
      </c>
      <c r="V76" s="342">
        <f>U76</f>
        <v>245.09</v>
      </c>
      <c r="W76" s="342">
        <f>V76</f>
        <v>245.09</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245.09</v>
      </c>
      <c r="M77" s="343">
        <f>M76</f>
        <v>245.09</v>
      </c>
      <c r="N77" s="343">
        <f>N76</f>
        <v>245.09</v>
      </c>
      <c r="O77" s="343">
        <f>O76</f>
        <v>245.09</v>
      </c>
      <c r="P77" s="343">
        <f>P76</f>
        <v>245.09</v>
      </c>
      <c r="Q77" s="343">
        <f>Q76</f>
        <v>245.09</v>
      </c>
      <c r="R77" s="343">
        <f>R76</f>
        <v>245.09</v>
      </c>
      <c r="S77" s="343">
        <f>S76</f>
        <v>245.09</v>
      </c>
      <c r="T77" s="343">
        <f>T76</f>
        <v>245.09</v>
      </c>
      <c r="U77" s="343">
        <f>U76</f>
        <v>245.09</v>
      </c>
      <c r="V77" s="343">
        <f>V76</f>
        <v>245.09</v>
      </c>
      <c r="W77" s="343">
        <f>W76</f>
        <v>245.09</v>
      </c>
    </row>
    <row r="78" outlineLevel="1" ht="5.1" customHeight="1" s="20">
      <c r="B78" s="422" t="inlineStr">
        <is>
          <t>Receivables &amp; payables held flat at FY2025 normalized level (working-capital neutral)</t>
        </is>
      </c>
      <c r="C78" s="72" t="n"/>
      <c r="D78" s="420" t="n"/>
      <c r="E78" s="420" t="n"/>
      <c r="F78" s="420" t="n"/>
      <c r="G78" s="420" t="n"/>
      <c r="H78" s="420" t="n"/>
      <c r="I78" s="420" t="n"/>
      <c r="J78" s="420" t="n"/>
      <c r="K78" s="420" t="n"/>
      <c r="L78" s="421" t="n"/>
      <c r="M78" s="421" t="n"/>
      <c r="N78" s="421" t="n"/>
      <c r="O78" s="421" t="n"/>
      <c r="P78" s="421" t="n"/>
      <c r="Q78" s="421" t="n"/>
      <c r="R78" s="421" t="n"/>
      <c r="S78" s="421" t="n"/>
      <c r="T78" s="421" t="n"/>
      <c r="U78" s="421" t="n"/>
      <c r="V78" s="421" t="n"/>
      <c r="W78" s="421" t="n"/>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$J$80</f>
        <v>1249.173</v>
      </c>
      <c r="M80" s="342">
        <f>L80</f>
        <v>1249.173</v>
      </c>
      <c r="N80" s="342">
        <f>M80</f>
        <v>1249.173</v>
      </c>
      <c r="O80" s="342">
        <f>N80</f>
        <v>1249.173</v>
      </c>
      <c r="P80" s="342">
        <f>O80</f>
        <v>1249.173</v>
      </c>
      <c r="Q80" s="342">
        <f>P80</f>
        <v>1249.173</v>
      </c>
      <c r="R80" s="342">
        <f>Q80</f>
        <v>1249.173</v>
      </c>
      <c r="S80" s="342">
        <f>R80</f>
        <v>1249.173</v>
      </c>
      <c r="T80" s="342">
        <f>S80</f>
        <v>1249.173</v>
      </c>
      <c r="U80" s="342">
        <f>T80</f>
        <v>1249.173</v>
      </c>
      <c r="V80" s="342">
        <f>U80</f>
        <v>1249.173</v>
      </c>
      <c r="W80" s="342">
        <f>V80</f>
        <v>1249.173</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1249.173</v>
      </c>
      <c r="M81" s="343">
        <f>M80</f>
        <v>1249.173</v>
      </c>
      <c r="N81" s="343">
        <f>N80</f>
        <v>1249.173</v>
      </c>
      <c r="O81" s="343">
        <f>O80</f>
        <v>1249.173</v>
      </c>
      <c r="P81" s="343">
        <f>P80</f>
        <v>1249.173</v>
      </c>
      <c r="Q81" s="343">
        <f>Q80</f>
        <v>1249.173</v>
      </c>
      <c r="R81" s="343">
        <f>R80</f>
        <v>1249.173</v>
      </c>
      <c r="S81" s="343">
        <f>S80</f>
        <v>1249.173</v>
      </c>
      <c r="T81" s="343">
        <f>T80</f>
        <v>1249.173</v>
      </c>
      <c r="U81" s="343">
        <f>U80</f>
        <v>1249.173</v>
      </c>
      <c r="V81" s="343">
        <f>V80</f>
        <v>1249.173</v>
      </c>
      <c r="W81" s="343">
        <f>W80</f>
        <v>1249.173</v>
      </c>
    </row>
    <row r="82" outlineLevel="1" s="20">
      <c r="B82" s="167" t="n"/>
      <c r="C82" s="2" t="n"/>
      <c r="D82" s="420" t="n"/>
      <c r="E82" s="420" t="n"/>
      <c r="F82" s="420" t="n"/>
      <c r="G82" s="420" t="n"/>
      <c r="H82" s="420" t="n"/>
      <c r="I82" s="420" t="n"/>
      <c r="J82" s="420" t="n"/>
      <c r="K82" s="420" t="n"/>
      <c r="L82" s="421" t="n"/>
      <c r="M82" s="421" t="n"/>
      <c r="N82" s="421" t="n"/>
      <c r="O82" s="421" t="n"/>
      <c r="P82" s="421" t="n"/>
      <c r="Q82" s="421" t="n"/>
      <c r="R82" s="421" t="n"/>
      <c r="S82" s="421" t="n"/>
      <c r="T82" s="421" t="n"/>
      <c r="U82" s="421" t="n"/>
      <c r="V82" s="421" t="n"/>
      <c r="W82" s="421" t="n"/>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-1004.083</v>
      </c>
      <c r="M83" s="346">
        <f>M76-M80</f>
        <v>-1004.083</v>
      </c>
      <c r="N83" s="346">
        <f>N76-N80</f>
        <v>-1004.083</v>
      </c>
      <c r="O83" s="346">
        <f>O76-O80</f>
        <v>-1004.083</v>
      </c>
      <c r="P83" s="346">
        <f>P76-P80</f>
        <v>-1004.083</v>
      </c>
      <c r="Q83" s="346">
        <f>Q76-Q80</f>
        <v>-1004.083</v>
      </c>
      <c r="R83" s="346">
        <f>R76-R80</f>
        <v>-1004.083</v>
      </c>
      <c r="S83" s="346">
        <f>S76-S80</f>
        <v>-1004.083</v>
      </c>
      <c r="T83" s="346">
        <f>T76-T80</f>
        <v>-1004.083</v>
      </c>
      <c r="U83" s="346">
        <f>U76-U80</f>
        <v>-1004.083</v>
      </c>
      <c r="V83" s="346">
        <f>V76-V80</f>
        <v>-1004.083</v>
      </c>
      <c r="W83" s="346">
        <f>W76-W80</f>
        <v>-1004.083</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1.4742724806149723</v>
      </c>
      <c r="P84" s="336" t="n"/>
      <c r="Q84" s="336" t="n"/>
      <c r="R84" s="336" t="n"/>
      <c r="S84" s="336" t="n"/>
      <c r="T84" s="335">
        <f>-T83/T13</f>
        <v>1.3282526863343833</v>
      </c>
      <c r="U84" s="335">
        <f>-U83/U13</f>
        <v>1.193495038594627</v>
      </c>
      <c r="V84" s="335">
        <f>-V83/V13</f>
        <v>1.0831326811369562</v>
      </c>
      <c r="W84" s="335">
        <f>-W83/W13</f>
        <v>0.9928644582618941</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-151.779</v>
      </c>
      <c r="M87" s="197">
        <f>M83-L83</f>
        <v>0.0</v>
      </c>
      <c r="N87" s="197">
        <f>N83-M83</f>
        <v>0.0</v>
      </c>
      <c r="O87" s="197">
        <f>O83-J83</f>
        <v>0.0</v>
      </c>
      <c r="P87" s="197">
        <f>P83-O83</f>
        <v>0.0</v>
      </c>
      <c r="Q87" s="197">
        <f>Q83-P83</f>
        <v>0.0</v>
      </c>
      <c r="R87" s="197">
        <f>R83-Q83</f>
        <v>0.0</v>
      </c>
      <c r="S87" s="197">
        <f>S83-R83</f>
        <v>0.0</v>
      </c>
      <c r="T87" s="197">
        <f>T83-O83</f>
        <v>0.0</v>
      </c>
      <c r="U87" s="197">
        <f>U83-T83</f>
        <v>0.0</v>
      </c>
      <c r="V87" s="197">
        <f>V83-U83</f>
        <v>0.0</v>
      </c>
      <c r="W87" s="197">
        <f>W83-V83</f>
        <v>0.0</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v>20</v>
      </c>
      <c r="M89" s="303" t="n">
        <v>20</v>
      </c>
      <c r="N89" s="303" t="n">
        <v>20</v>
      </c>
      <c r="O89" s="238" t="n">
        <v>80</v>
      </c>
      <c r="P89" s="238" t="n">
        <v>20</v>
      </c>
      <c r="Q89" s="238" t="n">
        <v>20</v>
      </c>
      <c r="R89" s="238" t="n">
        <v>20</v>
      </c>
      <c r="S89" s="238" t="n">
        <v>20</v>
      </c>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n"/>
      <c r="C94" s="307" t="n"/>
      <c r="D94" s="351" t="n"/>
      <c r="E94" s="351" t="n"/>
      <c r="F94" s="351" t="n"/>
      <c r="G94" s="351" t="n"/>
      <c r="H94" s="351" t="n"/>
      <c r="I94" s="351" t="n"/>
      <c r="J94" s="351" t="n"/>
      <c r="K94" s="352" t="n"/>
      <c r="L94" s="351" t="n"/>
      <c r="M94" s="351" t="n"/>
      <c r="N94" s="351" t="n"/>
      <c r="O94" s="197" t="n"/>
      <c r="P94" s="351" t="n"/>
      <c r="Q94" s="351" t="n"/>
      <c r="R94" s="351" t="n"/>
      <c r="S94" s="351" t="n"/>
      <c r="T94" s="197" t="n"/>
      <c r="U94" s="197" t="n"/>
      <c r="V94" s="197" t="n"/>
      <c r="W94" s="197" t="n"/>
    </row>
    <row r="95" outlineLevel="1" s="20">
      <c r="B95" s="89" t="n"/>
      <c r="C95" s="307" t="n"/>
      <c r="D95" s="351" t="n"/>
      <c r="E95" s="351" t="n"/>
      <c r="F95" s="351" t="n"/>
      <c r="G95" s="351" t="n"/>
      <c r="H95" s="351" t="n"/>
      <c r="I95" s="351" t="n"/>
      <c r="J95" s="351" t="n"/>
      <c r="K95" s="352" t="n"/>
      <c r="L95" s="351" t="n"/>
      <c r="M95" s="351" t="n"/>
      <c r="N95" s="351" t="n"/>
      <c r="O95" s="197" t="n"/>
      <c r="P95" s="351" t="n"/>
      <c r="Q95" s="351" t="n"/>
      <c r="R95" s="351" t="n"/>
      <c r="S95" s="351" t="n"/>
      <c r="T95" s="197" t="n"/>
      <c r="U95" s="197" t="n"/>
      <c r="V95" s="197" t="n"/>
      <c r="W95" s="197" t="n"/>
    </row>
    <row r="96" outlineLevel="1" s="20">
      <c r="B96" s="89" t="n"/>
      <c r="C96" s="307" t="n"/>
      <c r="D96" s="351" t="n"/>
      <c r="E96" s="351" t="n"/>
      <c r="F96" s="351" t="n"/>
      <c r="G96" s="351" t="n"/>
      <c r="H96" s="351" t="n"/>
      <c r="I96" s="351" t="n"/>
      <c r="J96" s="351" t="n"/>
      <c r="K96" s="352" t="n"/>
      <c r="L96" s="351" t="n"/>
      <c r="M96" s="351" t="n"/>
      <c r="N96" s="351" t="n"/>
      <c r="O96" s="353" t="n"/>
      <c r="P96" s="351" t="n"/>
      <c r="Q96" s="351" t="n"/>
      <c r="R96" s="351" t="n"/>
      <c r="S96" s="351" t="n"/>
      <c r="T96" s="353" t="n"/>
      <c r="U96" s="353" t="n"/>
      <c r="V96" s="353" t="n"/>
      <c r="W96" s="353" t="n"/>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n"/>
    </row>
    <row r="113">
      <c r="B113" s="307" t="inlineStr">
        <is>
          <t>Share buybacks</t>
        </is>
      </c>
    </row>
    <row r="114">
      <c r="B114" s="82" t="inlineStr">
        <is>
          <t>Free Cash Flow Build</t>
        </is>
      </c>
    </row>
    <row r="115">
      <c r="B115" s="307" t="inlineStr">
        <is>
          <t>Net Income</t>
        </is>
      </c>
      <c r="C115" t="inlineStr">
        <is>
          <t>$</t>
        </is>
      </c>
      <c r="L115" s="418">
        <f>L55</f>
        <v>118.56365419179409</v>
      </c>
      <c r="M115" s="418">
        <f>M55</f>
        <v>127.39838589081758</v>
      </c>
      <c r="N115" s="418">
        <f>N55</f>
        <v>129.0965660152424</v>
      </c>
      <c r="O115" s="418">
        <f>O55</f>
        <v>493.6006060978542</v>
      </c>
      <c r="P115" s="418">
        <f>P55</f>
        <v>122.14335969256284</v>
      </c>
      <c r="Q115" s="418">
        <f>Q55</f>
        <v>130.3038561893571</v>
      </c>
      <c r="R115" s="418">
        <f>R55</f>
        <v>139.4374090825442</v>
      </c>
      <c r="S115" s="418">
        <f>S55</f>
        <v>140.0734046350983</v>
      </c>
      <c r="T115" s="418">
        <f>T55</f>
        <v>539.0756351169435</v>
      </c>
      <c r="U115" s="418">
        <f>U55</f>
        <v>594.5654048790257</v>
      </c>
      <c r="V115" s="418">
        <f>V55</f>
        <v>656.8006281804242</v>
      </c>
      <c r="W115" s="418">
        <f>W55</f>
        <v>714.9485348876021</v>
      </c>
    </row>
    <row r="116">
      <c r="B116" s="307" t="inlineStr">
        <is>
          <t>(+) Depreciation &amp; amortization</t>
        </is>
      </c>
      <c r="L116" s="418">
        <f>L26</f>
        <v>17.19838588667246</v>
      </c>
      <c r="M116" s="418">
        <f>M26</f>
        <v>18.47991795483252</v>
      </c>
      <c r="N116" s="418">
        <f>N26</f>
        <v>18.726249406777224</v>
      </c>
      <c r="O116" s="418">
        <f>O26</f>
        <v>71.43155324828221</v>
      </c>
      <c r="P116" s="418">
        <f>P26</f>
        <v>17.717644144884325</v>
      </c>
      <c r="Q116" s="418">
        <f>Q26</f>
        <v>18.901374257922797</v>
      </c>
      <c r="R116" s="418">
        <f>R26</f>
        <v>20.22625217471897</v>
      </c>
      <c r="S116" s="418">
        <f>S26</f>
        <v>20.318507233907162</v>
      </c>
      <c r="T116" s="418">
        <f>T26</f>
        <v>77.16377781143325</v>
      </c>
      <c r="U116" s="418">
        <f>U26</f>
        <v>83.81050106647312</v>
      </c>
      <c r="V116" s="418">
        <f>V26</f>
        <v>91.03808116009077</v>
      </c>
      <c r="W116" s="418">
        <f>W26</f>
        <v>97.79098780536819</v>
      </c>
    </row>
    <row r="117">
      <c r="B117" s="307" t="inlineStr">
        <is>
          <t>(+) Amortization of intangibles</t>
        </is>
      </c>
      <c r="L117" s="418">
        <f>L39</f>
        <v>8.678750573327381</v>
      </c>
      <c r="M117" s="418">
        <f>M39</f>
        <v>9.32544481804138</v>
      </c>
      <c r="N117" s="418">
        <f>N39</f>
        <v>9.449750043187558</v>
      </c>
      <c r="O117" s="418">
        <f>O39</f>
        <v>36.432945434556316</v>
      </c>
      <c r="P117" s="418">
        <f>P39</f>
        <v>8.940781727637825</v>
      </c>
      <c r="Q117" s="418">
        <f>Q39</f>
        <v>9.538122574906438</v>
      </c>
      <c r="R117" s="418">
        <f>R39</f>
        <v>10.206690256533696</v>
      </c>
      <c r="S117" s="418">
        <f>S39</f>
        <v>10.253244546750103</v>
      </c>
      <c r="T117" s="418">
        <f>T39</f>
        <v>38.938839105828066</v>
      </c>
      <c r="U117" s="418">
        <f>U39</f>
        <v>42.29294766232509</v>
      </c>
      <c r="V117" s="418">
        <f>V39</f>
        <v>45.94017161081564</v>
      </c>
      <c r="W117" s="418">
        <f>W39</f>
        <v>49.347863053809945</v>
      </c>
    </row>
    <row r="118">
      <c r="B118" s="307" t="inlineStr">
        <is>
          <t>(+) Share-based compensation</t>
        </is>
      </c>
      <c r="L118" s="418">
        <f>L32</f>
        <v>10.95762459966793</v>
      </c>
      <c r="M118" s="418">
        <f>M32</f>
        <v>11.774128392981229</v>
      </c>
      <c r="N118" s="418">
        <f>N32</f>
        <v>11.931073794444336</v>
      </c>
      <c r="O118" s="418">
        <f>O32</f>
        <v>43.997826787093494</v>
      </c>
      <c r="P118" s="418">
        <f>P32</f>
        <v>11.288460126981704</v>
      </c>
      <c r="Q118" s="418">
        <f>Q32</f>
        <v>12.042651263956342</v>
      </c>
      <c r="R118" s="418">
        <f>R32</f>
        <v>12.88677204065624</v>
      </c>
      <c r="S118" s="418">
        <f>S32</f>
        <v>12.945550597706047</v>
      </c>
      <c r="T118" s="418">
        <f>T32</f>
        <v>49.16343402930033</v>
      </c>
      <c r="U118" s="418">
        <f>U32</f>
        <v>53.39826738671731</v>
      </c>
      <c r="V118" s="418">
        <f>V32</f>
        <v>58.00318263584351</v>
      </c>
      <c r="W118" s="418">
        <f>W32</f>
        <v>62.30566872163918</v>
      </c>
    </row>
    <row r="119">
      <c r="B119" s="307" t="inlineStr">
        <is>
          <t>(+) Amortization of debenture discount</t>
        </is>
      </c>
      <c r="L119" s="418">
        <f>L29</f>
        <v>0.0</v>
      </c>
      <c r="M119" s="418">
        <f>M29</f>
        <v>0.0</v>
      </c>
      <c r="N119" s="418">
        <f>N29</f>
        <v>0.0</v>
      </c>
      <c r="O119" s="418">
        <f>O29</f>
        <v>0.0</v>
      </c>
      <c r="P119" s="418">
        <f>P29</f>
        <v>0.0</v>
      </c>
      <c r="Q119" s="418">
        <f>Q29</f>
        <v>0.0</v>
      </c>
      <c r="R119" s="418">
        <f>R29</f>
        <v>0.0</v>
      </c>
      <c r="S119" s="418">
        <f>S29</f>
        <v>0.0</v>
      </c>
      <c r="T119" s="418">
        <f>T29</f>
        <v>0.0</v>
      </c>
      <c r="U119" s="418">
        <f>U29</f>
        <v>0.0</v>
      </c>
      <c r="V119" s="418">
        <f>V29</f>
        <v>0.0</v>
      </c>
      <c r="W119" s="418">
        <f>W29</f>
        <v>0.0</v>
      </c>
    </row>
    <row r="120">
      <c r="B120" s="307" t="inlineStr">
        <is>
          <t>(+/-) Decrease / (increase) in net working capital</t>
        </is>
      </c>
      <c r="L120" s="418">
        <f>-L87</f>
        <v>151.779</v>
      </c>
      <c r="M120" s="418">
        <f>-M87</f>
        <v>-0.0</v>
      </c>
      <c r="N120" s="418">
        <f>-N87</f>
        <v>-0.0</v>
      </c>
      <c r="O120" s="418">
        <f>-O87</f>
        <v>-0.0</v>
      </c>
      <c r="P120" s="418">
        <f>-P87</f>
        <v>-0.0</v>
      </c>
      <c r="Q120" s="418">
        <f>-Q87</f>
        <v>-0.0</v>
      </c>
      <c r="R120" s="418">
        <f>-R87</f>
        <v>-0.0</v>
      </c>
      <c r="S120" s="418">
        <f>-S87</f>
        <v>-0.0</v>
      </c>
      <c r="T120" s="418">
        <f>-T87</f>
        <v>-0.0</v>
      </c>
      <c r="U120" s="418">
        <f>-U87</f>
        <v>-0.0</v>
      </c>
      <c r="V120" s="418">
        <f>-V87</f>
        <v>-0.0</v>
      </c>
      <c r="W120" s="418">
        <f>-W87</f>
        <v>-0.0</v>
      </c>
    </row>
    <row r="121">
      <c r="B121" s="307" t="inlineStr">
        <is>
          <t>(-) Capital expenditures</t>
        </is>
      </c>
      <c r="L121" s="418">
        <f>-L89</f>
        <v>-20.0</v>
      </c>
      <c r="M121" s="418">
        <f>-M89</f>
        <v>-20.0</v>
      </c>
      <c r="N121" s="418">
        <f>-N89</f>
        <v>-20.0</v>
      </c>
      <c r="O121" s="418">
        <f>-O89</f>
        <v>-80.0</v>
      </c>
      <c r="P121" s="418">
        <f>-P89</f>
        <v>-20.0</v>
      </c>
      <c r="Q121" s="418">
        <f>-Q89</f>
        <v>-20.0</v>
      </c>
      <c r="R121" s="418">
        <f>-R89</f>
        <v>-20.0</v>
      </c>
      <c r="S121" s="418">
        <f>-S89</f>
        <v>-20.0</v>
      </c>
      <c r="T121" s="418">
        <f>-T89</f>
        <v>-80.0</v>
      </c>
      <c r="U121" s="418">
        <f>-U89</f>
        <v>-80.0</v>
      </c>
      <c r="V121" s="418">
        <f>-V89</f>
        <v>-80.0</v>
      </c>
      <c r="W121" s="418">
        <f>-W89</f>
        <v>-80.0</v>
      </c>
    </row>
    <row r="122">
      <c r="B122" s="307" t="inlineStr">
        <is>
          <t>Free Cash Flow</t>
        </is>
      </c>
      <c r="C122" t="inlineStr">
        <is>
          <t>$</t>
        </is>
      </c>
      <c r="L122" s="418">
        <f>SUM(L115:L121)</f>
        <v>287.17741525146187</v>
      </c>
      <c r="M122" s="418">
        <f>SUM(M115:M121)</f>
        <v>146.9778770566727</v>
      </c>
      <c r="N122" s="418">
        <f>SUM(N115:N121)</f>
        <v>149.20363925965148</v>
      </c>
      <c r="O122" s="418">
        <f>SUM(O115:O121)</f>
        <v>565.4629315677862</v>
      </c>
      <c r="P122" s="418">
        <f>SUM(P115:P121)</f>
        <v>140.09024569206667</v>
      </c>
      <c r="Q122" s="418">
        <f>SUM(Q115:Q121)</f>
        <v>150.78600428614268</v>
      </c>
      <c r="R122" s="418">
        <f>SUM(R115:R121)</f>
        <v>162.75712355445313</v>
      </c>
      <c r="S122" s="418">
        <f>SUM(S115:S121)</f>
        <v>163.5907070134616</v>
      </c>
      <c r="T122" s="418">
        <f>SUM(T115:T121)</f>
        <v>624.3416860635052</v>
      </c>
      <c r="U122" s="418">
        <f>SUM(U115:U121)</f>
        <v>694.0671209945411</v>
      </c>
      <c r="V122" s="418">
        <f>SUM(V115:V121)</f>
        <v>771.7820635871741</v>
      </c>
      <c r="W122" s="418">
        <f>SUM(W115:W121)</f>
        <v>844.3930544684196</v>
      </c>
    </row>
    <row r="123">
      <c r="B123" s="307" t="inlineStr">
        <is>
          <t xml:space="preserve">   % growth</t>
        </is>
      </c>
      <c r="T123" s="344">
        <f>T122/O122-1</f>
        <v>0.10412487045344165</v>
      </c>
      <c r="U123" s="344">
        <f>U122/T122-1</f>
        <v>0.11167832692809143</v>
      </c>
      <c r="V123" s="344">
        <f>V122/U122-1</f>
        <v>0.1119703559524241</v>
      </c>
      <c r="W123" s="344">
        <f>W122/V122-1</f>
        <v>0.09408224718744562</v>
      </c>
    </row>
    <row r="124">
      <c r="B124" s="307" t="inlineStr">
        <is>
          <t xml:space="preserve">   FCF margin (% net revenue)</t>
        </is>
      </c>
      <c r="L124" s="344">
        <f>L122/L17</f>
        <v>0.9183860591865327</v>
      </c>
      <c r="M124" s="344">
        <f>M122/M17</f>
        <v>0.43743609998025346</v>
      </c>
      <c r="N124" s="344">
        <f>N122/N17</f>
        <v>0.4382190998861161</v>
      </c>
      <c r="O124" s="344">
        <f>O122/O17</f>
        <v>0.4307666416056059</v>
      </c>
      <c r="P124" s="344">
        <f>P122/P17</f>
        <v>0.4348751702007937</v>
      </c>
      <c r="Q124" s="344">
        <f>Q122/Q17</f>
        <v>0.4387633471815741</v>
      </c>
      <c r="R124" s="344">
        <f>R122/R17</f>
        <v>0.44257540735518397</v>
      </c>
      <c r="S124" s="344">
        <f>S122/S17</f>
        <v>0.4428223383815096</v>
      </c>
      <c r="T124" s="344">
        <f>T122/T17</f>
        <v>0.4427655697542858</v>
      </c>
      <c r="U124" s="344">
        <f>U122/U17</f>
        <v>0.4531771726367219</v>
      </c>
      <c r="V124" s="344">
        <f>V122/V17</f>
        <v>0.4639130364307751</v>
      </c>
      <c r="W124" s="344">
        <f>W122/W17</f>
        <v>0.4725097890549612</v>
      </c>
    </row>
    <row r="125">
      <c r="B125" s="307" t="inlineStr">
        <is>
          <t>Diluted weighted-average shares</t>
        </is>
      </c>
      <c r="C125" t="inlineStr">
        <is>
          <t>mm</t>
        </is>
      </c>
      <c r="L125" s="418">
        <f>L100</f>
        <v>397.2806971578966</v>
      </c>
      <c r="M125" s="418">
        <f>M100</f>
        <v>397.360202332559</v>
      </c>
      <c r="N125" s="418">
        <f>N100</f>
        <v>397.3999383527922</v>
      </c>
      <c r="O125" s="418">
        <f>O100</f>
        <v>397.5955894778655</v>
      </c>
      <c r="P125" s="418">
        <f>P100</f>
        <v>397.4396783466275</v>
      </c>
      <c r="Q125" s="418">
        <f>Q100</f>
        <v>397.4794223144621</v>
      </c>
      <c r="R125" s="418">
        <f>R100</f>
        <v>397.5191702566935</v>
      </c>
      <c r="S125" s="418">
        <f>S100</f>
        <v>397.5589221737192</v>
      </c>
      <c r="T125" s="418">
        <f>T100</f>
        <v>397.4996794120835</v>
      </c>
      <c r="U125" s="418">
        <f>U100</f>
        <v>397.5787991259803</v>
      </c>
      <c r="V125" s="418">
        <f>V100</f>
        <v>397.5787991259803</v>
      </c>
      <c r="W125" s="418">
        <f>W100</f>
        <v>397.5787991259803</v>
      </c>
    </row>
    <row r="126">
      <c r="B126" s="307" t="inlineStr">
        <is>
          <t>Free Cash Flow per Share</t>
        </is>
      </c>
      <c r="C126" t="inlineStr">
        <is>
          <t>$</t>
        </is>
      </c>
      <c r="L126" s="419">
        <f>L122/L125</f>
        <v>0.722857710696488</v>
      </c>
      <c r="M126" s="419">
        <f>M122/M125</f>
        <v>0.3698857515017668</v>
      </c>
      <c r="N126" s="419">
        <f>N122/N125</f>
        <v>0.3754495782714385</v>
      </c>
      <c r="O126" s="419">
        <f>O122/O125</f>
        <v>1.4222062480883382</v>
      </c>
      <c r="P126" s="419">
        <f>P122/P125</f>
        <v>0.35248178107140776</v>
      </c>
      <c r="Q126" s="419">
        <f>Q122/Q125</f>
        <v>0.3793554982246345</v>
      </c>
      <c r="R126" s="419">
        <f>R122/R125</f>
        <v>0.40943213744724455</v>
      </c>
      <c r="S126" s="419">
        <f>S122/S125</f>
        <v>0.41148795282722456</v>
      </c>
      <c r="T126" s="419">
        <f>T122/T125</f>
        <v>1.5706721750994348</v>
      </c>
      <c r="U126" s="419">
        <f>U122/U125</f>
        <v>1.7457347386740634</v>
      </c>
      <c r="V126" s="419">
        <f>V122/V125</f>
        <v>1.94120527876191</v>
      </c>
      <c r="W126" s="419">
        <f>W122/W125</f>
        <v>2.1238382336399626</v>
      </c>
    </row>
    <row r="127">
      <c r="B127" s="307" t="inlineStr">
        <is>
          <t xml:space="preserve">   % growth</t>
        </is>
      </c>
      <c r="T127" s="344">
        <f>T126/O126-1</f>
        <v>0.1043912774329725</v>
      </c>
      <c r="U127" s="344">
        <f>U126/T126-1</f>
        <v>0.11145709865494102</v>
      </c>
      <c r="V127" s="344">
        <f>V126/U126-1</f>
        <v>0.11197035595242388</v>
      </c>
      <c r="W127" s="344">
        <f>W126/V126-1</f>
        <v>0.09408224718744584</v>
      </c>
    </row>
    <row r="128">
      <c r="B128" s="307" t="inlineStr">
        <is>
          <t xml:space="preserve">   FCF yield (on current price)</t>
        </is>
      </c>
      <c r="O128" s="344">
        <f>O126*O110/O109</f>
        <v>0.07003601939650542</v>
      </c>
      <c r="T128" s="344">
        <f>T126*T110/T109</f>
        <v>0.07734716892762705</v>
      </c>
      <c r="U128" s="344">
        <f>U126*U110/U109</f>
        <v>0.08596805996547398</v>
      </c>
      <c r="V128" s="344">
        <f>V126*V110/V109</f>
        <v>0.09559393424034743</v>
      </c>
      <c r="W128" s="344">
        <f>W126*W110/W109</f>
        <v>0.10458762639116823</v>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2026-06-24T18:23:04Z</dcterms:modified>
  <cp:lastModifiedBy>Luckasavitch, Curtis</cp:lastModifiedBy>
</cp:coreProperties>
</file>
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Opearating Model" sheetId="1" state="visible" r:id="rId1"/>
    <sheet name="Revenue Build" sheetId="2" state="visible" r:id="rId2"/>
    <sheet name="Debt Build" sheetId="3" state="visible" r:id="rId3"/>
    <sheet name="Comps" sheetId="4" state="visible" r:id="rId4"/>
    <sheet name="VUM Build -- Ignore" sheetId="5" state="visible" r:id="rId5"/>
  </sheets>
  <definedNames/>
  <calcPr calcId="191029" fullCalcOnLoad="1"/>
</workbook>
</file>

<file path=xl/styles.xml><?xml version="1.0" encoding="utf-8"?>
<styleSheet xmlns="http://schemas.openxmlformats.org/spreadsheetml/2006/main">
  <numFmts count="10">
    <numFmt numFmtId="164" formatCode="0&quot;A&quot;"/>
    <numFmt numFmtId="165" formatCode="0&quot;E&quot;"/>
    <numFmt numFmtId="166" formatCode="_(* #,##0_);_(* \(#,##0\);_(* &quot;-&quot;??_);_(@_)"/>
    <numFmt numFmtId="167" formatCode="_(* 0.0%_);_(* \-0.0%_);_(* &quot;-&quot;??_);_(@_)"/>
    <numFmt numFmtId="168" formatCode="_-* #,##0.00_-;\-* #,##0.00_-;_-* &quot;-&quot;??_-;_-@_-"/>
    <numFmt numFmtId="169" formatCode="_(* #,##0.0_);_(* \(#,##0.0\);_(* &quot;-&quot;??_);_(@_)"/>
    <numFmt numFmtId="170" formatCode="_(* 0.00%_);_(* \-0.00%_);_(* &quot;-&quot;??_);_(@_)"/>
    <numFmt numFmtId="171" formatCode="[&lt;=9999999]###\-####;###\-###\-####"/>
    <numFmt numFmtId="172" formatCode="0.0%"/>
    <numFmt numFmtId="173" formatCode="0.0\x"/>
  </numFmts>
  <fonts count="37">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family val="2"/>
      <b val="1"/>
      <color theme="1"/>
      <sz val="14"/>
      <scheme val="minor"/>
    </font>
    <font>
      <name val="Aptos Narrow"/>
      <family val="2"/>
      <b val="1"/>
      <i val="1"/>
      <color theme="0"/>
      <sz val="11"/>
      <scheme val="minor"/>
    </font>
    <font>
      <name val="Aptos Narrow"/>
      <family val="2"/>
      <i val="1"/>
      <color theme="1"/>
      <sz val="11"/>
      <scheme val="minor"/>
    </font>
    <font>
      <name val="Aptos Narrow"/>
      <family val="2"/>
      <color rgb="FF0000FF"/>
      <sz val="11"/>
      <scheme val="minor"/>
    </font>
    <font>
      <name val="Aptos Narrow"/>
      <family val="2"/>
      <b val="1"/>
      <i val="1"/>
      <color theme="1"/>
      <sz val="11"/>
      <scheme val="minor"/>
    </font>
    <font>
      <name val="Tahoma"/>
      <family val="2"/>
      <color indexed="81"/>
      <sz val="9"/>
    </font>
    <font>
      <name val="Tahoma"/>
      <family val="2"/>
      <b val="1"/>
      <color indexed="81"/>
      <sz val="9"/>
    </font>
    <font>
      <name val="Aptos Narrow"/>
      <family val="2"/>
      <color rgb="FF9C0006"/>
      <sz val="11"/>
      <scheme val="minor"/>
    </font>
    <font>
      <name val="Aptos Narrow"/>
      <family val="2"/>
      <color rgb="FF9C5700"/>
      <sz val="11"/>
      <scheme val="minor"/>
    </font>
    <font>
      <name val="Calibri"/>
      <family val="2"/>
      <b val="1"/>
      <color rgb="FF000000"/>
      <sz val="11"/>
    </font>
    <font>
      <name val="Calibri"/>
      <family val="2"/>
      <b val="1"/>
      <color rgb="FF0000FC"/>
      <sz val="11"/>
    </font>
    <font>
      <name val="Calibri"/>
      <family val="2"/>
      <color theme="1"/>
      <sz val="11"/>
    </font>
    <font>
      <name val="Calibri"/>
      <family val="2"/>
      <b val="1"/>
      <color theme="1"/>
      <sz val="14"/>
    </font>
    <font>
      <name val="Calibri"/>
      <family val="2"/>
      <b val="1"/>
      <color theme="0"/>
      <sz val="11"/>
    </font>
    <font>
      <name val="Calibri"/>
      <family val="2"/>
      <b val="1"/>
      <i val="1"/>
      <color theme="0"/>
      <sz val="11"/>
    </font>
    <font>
      <name val="Calibri"/>
      <family val="2"/>
      <b val="1"/>
      <color theme="1"/>
      <sz val="11"/>
    </font>
    <font>
      <name val="Calibri"/>
      <family val="2"/>
      <b val="1"/>
      <i val="1"/>
      <color theme="1"/>
      <sz val="11"/>
    </font>
    <font>
      <name val="Calibri"/>
      <family val="2"/>
      <i val="1"/>
      <color theme="1"/>
      <sz val="11"/>
    </font>
    <font>
      <name val="Calibri"/>
      <family val="2"/>
      <color rgb="FF0000FF"/>
      <sz val="11"/>
    </font>
    <font>
      <name val="Calibri"/>
      <family val="2"/>
      <b val="1"/>
      <color rgb="FF0000FF"/>
      <sz val="11"/>
    </font>
    <font>
      <name val="Calibri"/>
      <family val="2"/>
      <b val="1"/>
      <sz val="11"/>
    </font>
    <font>
      <name val="Calibri"/>
      <family val="2"/>
      <i val="1"/>
      <color rgb="FF0000FF"/>
      <sz val="11"/>
    </font>
    <font>
      <name val="Calibri"/>
      <family val="2"/>
      <i val="1"/>
      <sz val="11"/>
    </font>
    <font>
      <name val="Calibri"/>
      <family val="2"/>
      <sz val="11"/>
    </font>
    <font>
      <name val="Calibri"/>
      <family val="2"/>
      <color rgb="FF000000"/>
      <sz val="11"/>
    </font>
    <font>
      <name val="Calibri"/>
      <family val="2"/>
      <color rgb="FF0000FC"/>
      <sz val="11"/>
    </font>
    <font>
      <name val="Calibri"/>
      <family val="2"/>
      <i val="1"/>
      <color rgb="FF0000FC"/>
      <sz val="11"/>
    </font>
    <font>
      <name val="Calibri"/>
      <family val="2"/>
      <i val="1"/>
      <color rgb="FF000000"/>
      <sz val="11"/>
    </font>
    <font>
      <name val="Tahoma"/>
      <charset val="1"/>
      <family val="2"/>
      <b val="1"/>
      <sz val="9"/>
    </font>
    <font>
      <name val="Tahoma"/>
      <charset val="1"/>
      <family val="2"/>
      <sz val="9"/>
    </font>
    <font>
      <name val="Aptos Narrow"/>
      <family val="2"/>
      <color theme="1"/>
      <sz val="11"/>
      <scheme val="minor"/>
    </font>
    <font>
      <name val="Aptos Narrow"/>
      <family val="2"/>
      <color rgb="FF006100"/>
      <sz val="11"/>
      <scheme val="minor"/>
    </font>
    <font>
      <name val="Calibri"/>
      <family val="2"/>
      <color rgb="FF009900"/>
      <sz val="11"/>
    </font>
    <font>
      <name val="Calibri"/>
      <family val="2"/>
      <i val="1"/>
      <strike val="1"/>
      <color theme="1"/>
      <sz val="11"/>
    </font>
  </fonts>
  <fills count="11">
    <fill>
      <patternFill/>
    </fill>
    <fill>
      <patternFill patternType="gray125"/>
    </fill>
    <fill>
      <patternFill patternType="solid">
        <fgColor theme="3"/>
        <bgColor indexed="64"/>
      </patternFill>
    </fill>
    <fill>
      <patternFill patternType="solid">
        <fgColor theme="0" tint="-0.0499893185216834"/>
        <bgColor indexed="64"/>
      </patternFill>
    </fill>
    <fill>
      <patternFill patternType="solid">
        <fgColor rgb="FFFFC7CE"/>
      </patternFill>
    </fill>
    <fill>
      <patternFill patternType="solid">
        <fgColor rgb="FFFFEB9C"/>
      </patternFill>
    </fill>
    <fill>
      <patternFill patternType="solid">
        <fgColor theme="0" tint="-0.1499984740745262"/>
        <bgColor indexed="64"/>
      </patternFill>
    </fill>
    <fill>
      <patternFill patternType="solid">
        <fgColor rgb="FFF2F2F2"/>
        <bgColor indexed="64"/>
      </patternFill>
    </fill>
    <fill>
      <patternFill patternType="solid">
        <fgColor rgb="FFFFFFFF"/>
        <bgColor indexed="64"/>
      </patternFill>
    </fill>
    <fill>
      <patternFill patternType="solid">
        <fgColor rgb="FFC6EFCE"/>
      </patternFill>
    </fill>
    <fill>
      <patternFill patternType="solid">
        <fgColor rgb="FFFFFFCC"/>
        <bgColor indexed="64"/>
      </patternFill>
    </fill>
  </fills>
  <borders count="13">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33" fillId="0" borderId="0"/>
    <xf numFmtId="0" fontId="10" fillId="4" borderId="0"/>
    <xf numFmtId="0" fontId="11" fillId="5" borderId="0"/>
    <xf numFmtId="9" fontId="33" fillId="0" borderId="0"/>
    <xf numFmtId="0" fontId="34" fillId="9" borderId="0"/>
  </cellStyleXfs>
  <cellXfs count="418">
    <xf numFmtId="0" fontId="0" fillId="0" borderId="0" pivotButton="0" quotePrefix="0" xfId="0"/>
    <xf numFmtId="0" fontId="3" fillId="0" borderId="0" pivotButton="0" quotePrefix="0" xfId="0"/>
    <xf numFmtId="0" fontId="0" fillId="0" borderId="0" applyAlignment="1" pivotButton="0" quotePrefix="0" xfId="0">
      <alignment horizontal="right"/>
    </xf>
    <xf numFmtId="0" fontId="0" fillId="0" borderId="0" applyAlignment="1" pivotButton="0" quotePrefix="0" xfId="0">
      <alignment horizontal="center"/>
    </xf>
    <xf numFmtId="0" fontId="1" fillId="2" borderId="0" pivotButton="0" quotePrefix="0" xfId="0"/>
    <xf numFmtId="0" fontId="4" fillId="2" borderId="0" applyAlignment="1" pivotButton="0" quotePrefix="0" xfId="0">
      <alignment horizontal="right"/>
    </xf>
    <xf numFmtId="164" fontId="1" fillId="2" borderId="0" pivotButton="0" quotePrefix="0" xfId="0"/>
    <xf numFmtId="165" fontId="1" fillId="2" borderId="0" pivotButton="0" quotePrefix="0" xfId="0"/>
    <xf numFmtId="164" fontId="1" fillId="2" borderId="0" applyAlignment="1" pivotButton="0" quotePrefix="0" xfId="0">
      <alignment horizontal="right"/>
    </xf>
    <xf numFmtId="0" fontId="0" fillId="0" borderId="1" pivotButton="0" quotePrefix="0" xfId="0"/>
    <xf numFmtId="164" fontId="1" fillId="2" borderId="1" applyAlignment="1" pivotButton="0" quotePrefix="0" xfId="0">
      <alignment horizontal="right"/>
    </xf>
    <xf numFmtId="0" fontId="5" fillId="0" borderId="0" applyAlignment="1" pivotButton="0" quotePrefix="0" xfId="0">
      <alignment horizontal="left" indent="1"/>
    </xf>
    <xf numFmtId="0" fontId="5" fillId="0" borderId="0" applyAlignment="1" pivotButton="0" quotePrefix="0" xfId="0">
      <alignment horizontal="right"/>
    </xf>
    <xf numFmtId="0" fontId="0" fillId="0" borderId="0" applyAlignment="1" pivotButton="0" quotePrefix="0" xfId="0">
      <alignment horizontal="center"/>
    </xf>
    <xf numFmtId="0" fontId="1" fillId="0" borderId="0" pivotButton="0" quotePrefix="0" xfId="0"/>
    <xf numFmtId="0" fontId="4" fillId="0" borderId="0" applyAlignment="1" pivotButton="0" quotePrefix="0" xfId="0">
      <alignment horizontal="right"/>
    </xf>
    <xf numFmtId="164" fontId="1" fillId="0" borderId="0" pivotButton="0" quotePrefix="0" xfId="0"/>
    <xf numFmtId="164" fontId="1" fillId="0" borderId="1" applyAlignment="1" pivotButton="0" quotePrefix="0" xfId="0">
      <alignment horizontal="right"/>
    </xf>
    <xf numFmtId="164" fontId="1" fillId="0" borderId="0" applyAlignment="1" pivotButton="0" quotePrefix="0" xfId="0">
      <alignment horizontal="right"/>
    </xf>
    <xf numFmtId="165" fontId="1" fillId="0" borderId="0" pivotButton="0" quotePrefix="0" xfId="0"/>
    <xf numFmtId="0" fontId="0" fillId="0" borderId="0" pivotButton="0" quotePrefix="0" xfId="0"/>
    <xf numFmtId="0" fontId="5" fillId="0" borderId="0" applyAlignment="1" pivotButton="0" quotePrefix="0" xfId="0">
      <alignment horizontal="right"/>
    </xf>
    <xf numFmtId="0" fontId="0" fillId="0" borderId="0" applyAlignment="1" pivotButton="0" quotePrefix="0" xfId="0">
      <alignment horizontal="left" indent="1"/>
    </xf>
    <xf numFmtId="0" fontId="2" fillId="3" borderId="4" pivotButton="0" quotePrefix="0" xfId="0"/>
    <xf numFmtId="0" fontId="5" fillId="3" borderId="2" applyAlignment="1" pivotButton="0" quotePrefix="0" xfId="0">
      <alignment horizontal="right"/>
    </xf>
    <xf numFmtId="166" fontId="0" fillId="0" borderId="0" pivotButton="0" quotePrefix="0" xfId="0"/>
    <xf numFmtId="166" fontId="0" fillId="0" borderId="1" pivotButton="0" quotePrefix="0" xfId="0"/>
    <xf numFmtId="166" fontId="0" fillId="0" borderId="0" pivotButton="0" quotePrefix="0" xfId="0"/>
    <xf numFmtId="43" fontId="0" fillId="0" borderId="0" pivotButton="0" quotePrefix="0" xfId="0"/>
    <xf numFmtId="43" fontId="6" fillId="0" borderId="1" pivotButton="0" quotePrefix="0" xfId="0"/>
    <xf numFmtId="43" fontId="6" fillId="3" borderId="0" pivotButton="0" quotePrefix="0" xfId="0"/>
    <xf numFmtId="166" fontId="0" fillId="3" borderId="0" pivotButton="0" quotePrefix="0" xfId="0"/>
    <xf numFmtId="167" fontId="0" fillId="3" borderId="0" pivotButton="0" quotePrefix="0" xfId="0"/>
    <xf numFmtId="43" fontId="0" fillId="3" borderId="0" pivotButton="0" quotePrefix="0" xfId="0"/>
    <xf numFmtId="166" fontId="0" fillId="0" borderId="1" pivotButton="0" quotePrefix="0" xfId="0"/>
    <xf numFmtId="167" fontId="6" fillId="3" borderId="0" pivotButton="0" quotePrefix="0" xfId="0"/>
    <xf numFmtId="167" fontId="6" fillId="0" borderId="0" pivotButton="0" quotePrefix="0" xfId="0"/>
    <xf numFmtId="0" fontId="7" fillId="3" borderId="5" applyAlignment="1" pivotButton="0" quotePrefix="0" xfId="0">
      <alignment horizontal="right"/>
    </xf>
    <xf numFmtId="43" fontId="2" fillId="3" borderId="5" pivotButton="0" quotePrefix="0" xfId="0"/>
    <xf numFmtId="43" fontId="2" fillId="3" borderId="6" applyAlignment="1" pivotButton="0" quotePrefix="0" xfId="0">
      <alignment horizontal="right"/>
    </xf>
    <xf numFmtId="43" fontId="2" fillId="3" borderId="6" pivotButton="0" quotePrefix="0" xfId="0"/>
    <xf numFmtId="0" fontId="2" fillId="3" borderId="8" pivotButton="0" quotePrefix="0" xfId="0"/>
    <xf numFmtId="0" fontId="7" fillId="3" borderId="0" applyAlignment="1" pivotButton="0" quotePrefix="0" xfId="0">
      <alignment horizontal="right"/>
    </xf>
    <xf numFmtId="43" fontId="2" fillId="3" borderId="0" pivotButton="0" quotePrefix="0" xfId="0"/>
    <xf numFmtId="0" fontId="5" fillId="3" borderId="0" applyAlignment="1" pivotButton="0" quotePrefix="0" xfId="0">
      <alignment horizontal="right"/>
    </xf>
    <xf numFmtId="166" fontId="0" fillId="3" borderId="0" pivotButton="0" quotePrefix="0" xfId="0"/>
    <xf numFmtId="167" fontId="0" fillId="3" borderId="0" pivotButton="0" quotePrefix="0" xfId="0"/>
    <xf numFmtId="167" fontId="0" fillId="3" borderId="1" pivotButton="0" quotePrefix="0" xfId="0"/>
    <xf numFmtId="0" fontId="0" fillId="3" borderId="8" applyAlignment="1" pivotButton="0" quotePrefix="0" xfId="0">
      <alignment horizontal="left" indent="1"/>
    </xf>
    <xf numFmtId="43" fontId="2" fillId="3" borderId="1" pivotButton="0" quotePrefix="0" xfId="0"/>
    <xf numFmtId="166" fontId="5" fillId="3" borderId="2" pivotButton="0" quotePrefix="0" xfId="0"/>
    <xf numFmtId="167" fontId="5" fillId="3" borderId="2" pivotButton="0" quotePrefix="0" xfId="0"/>
    <xf numFmtId="167" fontId="5" fillId="3" borderId="3" pivotButton="0" quotePrefix="0" xfId="0"/>
    <xf numFmtId="166" fontId="5" fillId="3" borderId="0" pivotButton="0" quotePrefix="0" xfId="0"/>
    <xf numFmtId="167" fontId="5" fillId="3" borderId="0" pivotButton="0" quotePrefix="0" xfId="0"/>
    <xf numFmtId="167" fontId="5" fillId="3" borderId="1" pivotButton="0" quotePrefix="0" xfId="0"/>
    <xf numFmtId="0" fontId="5" fillId="3" borderId="7" applyAlignment="1" pivotButton="0" quotePrefix="0" xfId="0">
      <alignment horizontal="left" indent="1"/>
    </xf>
    <xf numFmtId="0" fontId="5" fillId="3" borderId="8" applyAlignment="1" pivotButton="0" quotePrefix="0" xfId="0">
      <alignment horizontal="left" indent="1"/>
    </xf>
    <xf numFmtId="168" fontId="0" fillId="0" borderId="0" pivotButton="0" quotePrefix="0" xfId="0"/>
    <xf numFmtId="166" fontId="5" fillId="3" borderId="0" pivotButton="0" quotePrefix="0" xfId="0"/>
    <xf numFmtId="167" fontId="5" fillId="3" borderId="0" pivotButton="0" quotePrefix="0" xfId="0"/>
    <xf numFmtId="166" fontId="5" fillId="0" borderId="1" pivotButton="0" quotePrefix="0" xfId="0"/>
    <xf numFmtId="166" fontId="5" fillId="0" borderId="0" pivotButton="0" quotePrefix="0" xfId="0"/>
    <xf numFmtId="167" fontId="5" fillId="0" borderId="1" pivotButton="0" quotePrefix="0" xfId="0"/>
    <xf numFmtId="167" fontId="5" fillId="0" borderId="0" pivotButton="0" quotePrefix="0" xfId="0"/>
    <xf numFmtId="0" fontId="0" fillId="0" borderId="0" applyAlignment="1" pivotButton="0" quotePrefix="0" xfId="0">
      <alignment horizontal="left"/>
    </xf>
    <xf numFmtId="43" fontId="6" fillId="0" borderId="0" pivotButton="0" quotePrefix="0" xfId="0"/>
    <xf numFmtId="169" fontId="12" fillId="7" borderId="0" pivotButton="0" quotePrefix="0" xfId="0"/>
    <xf numFmtId="169" fontId="13" fillId="8" borderId="0" pivotButton="0" quotePrefix="0" xfId="0"/>
    <xf numFmtId="169" fontId="13" fillId="0" borderId="0" pivotButton="0" quotePrefix="0" xfId="0"/>
    <xf numFmtId="0" fontId="14" fillId="0" borderId="0" applyAlignment="1" pivotButton="0" quotePrefix="0" xfId="0">
      <alignment horizontal="center"/>
    </xf>
    <xf numFmtId="0" fontId="14" fillId="0" borderId="0" pivotButton="0" quotePrefix="0" xfId="0"/>
    <xf numFmtId="0" fontId="14" fillId="0" borderId="0" applyAlignment="1" pivotButton="0" quotePrefix="0" xfId="0">
      <alignment horizontal="right"/>
    </xf>
    <xf numFmtId="0" fontId="14" fillId="0" borderId="1" pivotButton="0" quotePrefix="0" xfId="0"/>
    <xf numFmtId="0" fontId="15" fillId="0" borderId="0" pivotButton="0" quotePrefix="0" xfId="0"/>
    <xf numFmtId="0" fontId="16" fillId="2" borderId="0" pivotButton="0" quotePrefix="0" xfId="0"/>
    <xf numFmtId="0" fontId="17" fillId="2" borderId="0" applyAlignment="1" pivotButton="0" quotePrefix="0" xfId="0">
      <alignment horizontal="right"/>
    </xf>
    <xf numFmtId="164" fontId="16" fillId="2" borderId="0" pivotButton="0" quotePrefix="0" xfId="0"/>
    <xf numFmtId="164" fontId="16" fillId="2" borderId="1" applyAlignment="1" pivotButton="0" quotePrefix="0" xfId="0">
      <alignment horizontal="right"/>
    </xf>
    <xf numFmtId="164" fontId="16" fillId="2" borderId="0" applyAlignment="1" pivotButton="0" quotePrefix="0" xfId="0">
      <alignment horizontal="right"/>
    </xf>
    <xf numFmtId="165" fontId="16" fillId="2" borderId="0" pivotButton="0" quotePrefix="0" xfId="0"/>
    <xf numFmtId="0" fontId="14" fillId="0" borderId="0" applyAlignment="1" pivotButton="0" quotePrefix="0" xfId="0">
      <alignment horizontal="center"/>
    </xf>
    <xf numFmtId="0" fontId="16" fillId="0" borderId="0" pivotButton="0" quotePrefix="0" xfId="0"/>
    <xf numFmtId="0" fontId="17" fillId="0" borderId="0" applyAlignment="1" pivotButton="0" quotePrefix="0" xfId="0">
      <alignment horizontal="right"/>
    </xf>
    <xf numFmtId="164" fontId="16" fillId="0" borderId="0" pivotButton="0" quotePrefix="0" xfId="0"/>
    <xf numFmtId="164" fontId="16" fillId="0" borderId="1" applyAlignment="1" pivotButton="0" quotePrefix="0" xfId="0">
      <alignment horizontal="right"/>
    </xf>
    <xf numFmtId="164" fontId="16" fillId="0" borderId="0" applyAlignment="1" pivotButton="0" quotePrefix="0" xfId="0">
      <alignment horizontal="right"/>
    </xf>
    <xf numFmtId="165" fontId="16" fillId="0" borderId="0" pivotButton="0" quotePrefix="0" xfId="0"/>
    <xf numFmtId="0" fontId="14" fillId="0" borderId="0" pivotButton="0" quotePrefix="0" xfId="0"/>
    <xf numFmtId="0" fontId="18" fillId="6" borderId="4" pivotButton="0" quotePrefix="0" xfId="0"/>
    <xf numFmtId="0" fontId="19" fillId="6" borderId="5" applyAlignment="1" pivotButton="0" quotePrefix="0" xfId="0">
      <alignment horizontal="right"/>
    </xf>
    <xf numFmtId="43" fontId="18" fillId="6" borderId="5" pivotButton="0" quotePrefix="0" xfId="0"/>
    <xf numFmtId="43" fontId="18" fillId="6" borderId="6" applyAlignment="1" pivotButton="0" quotePrefix="0" xfId="0">
      <alignment horizontal="right"/>
    </xf>
    <xf numFmtId="43" fontId="18" fillId="6" borderId="6" pivotButton="0" quotePrefix="0" xfId="0"/>
    <xf numFmtId="0" fontId="19" fillId="6" borderId="8" applyAlignment="1" pivotButton="0" quotePrefix="0" xfId="0">
      <alignment horizontal="left" indent="1"/>
    </xf>
    <xf numFmtId="0" fontId="20" fillId="6" borderId="0" applyAlignment="1" pivotButton="0" quotePrefix="0" xfId="0">
      <alignment horizontal="right"/>
    </xf>
    <xf numFmtId="166" fontId="20" fillId="6" borderId="0" pivotButton="0" quotePrefix="0" xfId="0"/>
    <xf numFmtId="167" fontId="20" fillId="6" borderId="0" pivotButton="0" quotePrefix="0" xfId="0"/>
    <xf numFmtId="167" fontId="20" fillId="6" borderId="1" pivotButton="0" quotePrefix="0" xfId="0"/>
    <xf numFmtId="0" fontId="14" fillId="6" borderId="8" applyAlignment="1" pivotButton="0" quotePrefix="0" xfId="0">
      <alignment horizontal="left" indent="1"/>
    </xf>
    <xf numFmtId="166" fontId="14" fillId="6" borderId="0" pivotButton="0" quotePrefix="0" xfId="0"/>
    <xf numFmtId="167" fontId="14" fillId="6" borderId="0" pivotButton="0" quotePrefix="0" xfId="0"/>
    <xf numFmtId="167" fontId="14" fillId="6" borderId="1" pivotButton="0" quotePrefix="0" xfId="0"/>
    <xf numFmtId="0" fontId="18" fillId="6" borderId="8" pivotButton="0" quotePrefix="0" xfId="0"/>
    <xf numFmtId="0" fontId="19" fillId="6" borderId="0" applyAlignment="1" pivotButton="0" quotePrefix="0" xfId="0">
      <alignment horizontal="right"/>
    </xf>
    <xf numFmtId="43" fontId="18" fillId="6" borderId="0" pivotButton="0" quotePrefix="0" xfId="0"/>
    <xf numFmtId="43" fontId="18" fillId="6" borderId="1" pivotButton="0" quotePrefix="0" xfId="0"/>
    <xf numFmtId="0" fontId="19" fillId="6" borderId="7" applyAlignment="1" pivotButton="0" quotePrefix="0" xfId="0">
      <alignment horizontal="left" indent="1"/>
    </xf>
    <xf numFmtId="0" fontId="20" fillId="6" borderId="2" applyAlignment="1" pivotButton="0" quotePrefix="0" xfId="0">
      <alignment horizontal="right"/>
    </xf>
    <xf numFmtId="166" fontId="20" fillId="6" borderId="2" pivotButton="0" quotePrefix="0" xfId="0"/>
    <xf numFmtId="167" fontId="20" fillId="6" borderId="2" pivotButton="0" quotePrefix="0" xfId="0"/>
    <xf numFmtId="167" fontId="20" fillId="6" borderId="3" pivotButton="0" quotePrefix="0" xfId="0"/>
    <xf numFmtId="0" fontId="14" fillId="0" borderId="0" applyAlignment="1" pivotButton="0" quotePrefix="0" xfId="0">
      <alignment horizontal="left" indent="1"/>
    </xf>
    <xf numFmtId="0" fontId="20" fillId="0" borderId="0" applyAlignment="1" pivotButton="0" quotePrefix="0" xfId="0">
      <alignment horizontal="right"/>
    </xf>
    <xf numFmtId="166" fontId="14" fillId="3" borderId="0" pivotButton="0" quotePrefix="0" xfId="0"/>
    <xf numFmtId="166" fontId="14" fillId="0" borderId="0" pivotButton="0" quotePrefix="0" xfId="0"/>
    <xf numFmtId="166" fontId="14" fillId="0" borderId="1" pivotButton="0" quotePrefix="0" xfId="0"/>
    <xf numFmtId="166" fontId="14" fillId="0" borderId="0" pivotButton="0" quotePrefix="0" xfId="0"/>
    <xf numFmtId="0" fontId="20" fillId="0" borderId="0" applyAlignment="1" pivotButton="0" quotePrefix="0" xfId="0">
      <alignment horizontal="right"/>
    </xf>
    <xf numFmtId="43" fontId="21" fillId="3" borderId="0" pivotButton="0" quotePrefix="0" xfId="0"/>
    <xf numFmtId="43" fontId="21" fillId="0" borderId="0" pivotButton="0" quotePrefix="0" xfId="0"/>
    <xf numFmtId="43" fontId="21" fillId="0" borderId="1" pivotButton="0" quotePrefix="0" xfId="0"/>
    <xf numFmtId="43" fontId="14" fillId="0" borderId="0" pivotButton="0" quotePrefix="0" xfId="0"/>
    <xf numFmtId="43" fontId="14" fillId="3" borderId="0" pivotButton="0" quotePrefix="0" xfId="0"/>
    <xf numFmtId="168" fontId="14" fillId="0" borderId="0" pivotButton="0" quotePrefix="0" xfId="0"/>
    <xf numFmtId="0" fontId="20" fillId="0" borderId="0" applyAlignment="1" pivotButton="0" quotePrefix="0" xfId="0">
      <alignment horizontal="left" indent="1"/>
    </xf>
    <xf numFmtId="167" fontId="14" fillId="3" borderId="0" pivotButton="0" quotePrefix="0" xfId="0"/>
    <xf numFmtId="167" fontId="14" fillId="0" borderId="0" pivotButton="0" quotePrefix="0" xfId="0"/>
    <xf numFmtId="166" fontId="14" fillId="0" borderId="1" pivotButton="0" quotePrefix="0" xfId="0"/>
    <xf numFmtId="167" fontId="21" fillId="0" borderId="0" pivotButton="0" quotePrefix="0" xfId="0"/>
    <xf numFmtId="167" fontId="21" fillId="3" borderId="0" pivotButton="0" quotePrefix="0" xfId="0"/>
    <xf numFmtId="166" fontId="14" fillId="0" borderId="0" pivotButton="0" quotePrefix="0" xfId="0"/>
    <xf numFmtId="43" fontId="22" fillId="6" borderId="5" pivotButton="0" quotePrefix="0" xfId="0"/>
    <xf numFmtId="43" fontId="23" fillId="6" borderId="5" pivotButton="0" quotePrefix="0" xfId="0"/>
    <xf numFmtId="43" fontId="22" fillId="6" borderId="6" pivotButton="0" quotePrefix="0" xfId="0"/>
    <xf numFmtId="43" fontId="23" fillId="6" borderId="6" pivotButton="0" quotePrefix="0" xfId="0"/>
    <xf numFmtId="0" fontId="20" fillId="6" borderId="8" applyAlignment="1" pivotButton="0" quotePrefix="0" xfId="0">
      <alignment horizontal="left" indent="1"/>
    </xf>
    <xf numFmtId="0" fontId="20" fillId="6" borderId="7" applyAlignment="1" pivotButton="0" quotePrefix="0" xfId="0">
      <alignment horizontal="left" indent="1"/>
    </xf>
    <xf numFmtId="167" fontId="24" fillId="6" borderId="2" pivotButton="0" quotePrefix="0" xfId="0"/>
    <xf numFmtId="167" fontId="25" fillId="6" borderId="2" pivotButton="0" quotePrefix="0" xfId="0"/>
    <xf numFmtId="167" fontId="25" fillId="6" borderId="3" pivotButton="0" quotePrefix="0" xfId="0"/>
    <xf numFmtId="169" fontId="14" fillId="3" borderId="0" pivotButton="0" quotePrefix="0" xfId="0"/>
    <xf numFmtId="169" fontId="14" fillId="0" borderId="0" pivotButton="0" quotePrefix="0" xfId="0"/>
    <xf numFmtId="169" fontId="14" fillId="0" borderId="1" pivotButton="0" quotePrefix="0" xfId="0"/>
    <xf numFmtId="169" fontId="14" fillId="0" borderId="0" pivotButton="0" quotePrefix="0" xfId="0"/>
    <xf numFmtId="167" fontId="20" fillId="0" borderId="1" pivotButton="0" quotePrefix="0" xfId="0"/>
    <xf numFmtId="167" fontId="24" fillId="0" borderId="0" pivotButton="0" quotePrefix="0" xfId="0"/>
    <xf numFmtId="0" fontId="20" fillId="6" borderId="5" applyAlignment="1" pivotButton="0" quotePrefix="0" xfId="0">
      <alignment horizontal="right"/>
    </xf>
    <xf numFmtId="166" fontId="22" fillId="6" borderId="5" pivotButton="0" quotePrefix="0" xfId="0"/>
    <xf numFmtId="166" fontId="23" fillId="6" borderId="5" pivotButton="0" quotePrefix="0" xfId="0"/>
    <xf numFmtId="166" fontId="22" fillId="6" borderId="6" pivotButton="0" quotePrefix="0" xfId="0"/>
    <xf numFmtId="166" fontId="14" fillId="6" borderId="2" pivotButton="0" quotePrefix="0" xfId="0"/>
    <xf numFmtId="167" fontId="14" fillId="6" borderId="2" pivotButton="0" quotePrefix="0" xfId="0"/>
    <xf numFmtId="167" fontId="14" fillId="6" borderId="3" pivotButton="0" quotePrefix="0" xfId="0"/>
    <xf numFmtId="164" fontId="16" fillId="2" borderId="2" pivotButton="0" quotePrefix="0" xfId="0"/>
    <xf numFmtId="164" fontId="16" fillId="2" borderId="3" applyAlignment="1" pivotButton="0" quotePrefix="0" xfId="0">
      <alignment horizontal="right"/>
    </xf>
    <xf numFmtId="164" fontId="16" fillId="2" borderId="2" applyAlignment="1" pivotButton="0" quotePrefix="0" xfId="0">
      <alignment horizontal="right"/>
    </xf>
    <xf numFmtId="165" fontId="16" fillId="2" borderId="2" pivotButton="0" quotePrefix="0" xfId="0"/>
    <xf numFmtId="0" fontId="18" fillId="0" borderId="0" pivotButton="0" quotePrefix="0" xfId="0"/>
    <xf numFmtId="166" fontId="22" fillId="3" borderId="0" pivotButton="0" quotePrefix="0" xfId="0"/>
    <xf numFmtId="166" fontId="22" fillId="0" borderId="0" pivotButton="0" quotePrefix="0" xfId="0"/>
    <xf numFmtId="166" fontId="22" fillId="0" borderId="1" pivotButton="0" quotePrefix="0" xfId="0"/>
    <xf numFmtId="166" fontId="18" fillId="0" borderId="0" pivotButton="0" quotePrefix="0" xfId="0"/>
    <xf numFmtId="166" fontId="18" fillId="3" borderId="0" pivotButton="0" quotePrefix="0" xfId="0"/>
    <xf numFmtId="0" fontId="14" fillId="0" borderId="0" applyAlignment="1" pivotButton="0" quotePrefix="0" xfId="0">
      <alignment horizontal="left" indent="1"/>
    </xf>
    <xf numFmtId="0" fontId="20" fillId="0" borderId="0" applyAlignment="1" pivotButton="0" quotePrefix="0" xfId="0">
      <alignment horizontal="left" indent="2"/>
    </xf>
    <xf numFmtId="167" fontId="26" fillId="3" borderId="0" pivotButton="0" quotePrefix="0" xfId="0"/>
    <xf numFmtId="0" fontId="14" fillId="0" borderId="0" applyAlignment="1" pivotButton="0" quotePrefix="0" xfId="0">
      <alignment horizontal="left" indent="1"/>
    </xf>
    <xf numFmtId="0" fontId="18" fillId="0" borderId="0" applyAlignment="1" pivotButton="0" quotePrefix="0" xfId="0">
      <alignment horizontal="left"/>
    </xf>
    <xf numFmtId="166" fontId="20" fillId="3" borderId="0" pivotButton="0" quotePrefix="0" xfId="0"/>
    <xf numFmtId="166" fontId="20" fillId="0" borderId="0" pivotButton="0" quotePrefix="0" xfId="0"/>
    <xf numFmtId="167" fontId="20" fillId="3" borderId="0" pivotButton="0" quotePrefix="0" xfId="0"/>
    <xf numFmtId="167" fontId="24" fillId="0" borderId="0" pivotButton="0" quotePrefix="0" xfId="0"/>
    <xf numFmtId="167" fontId="24" fillId="0" borderId="0" pivotButton="0" quotePrefix="0" xfId="0"/>
    <xf numFmtId="167" fontId="24" fillId="3" borderId="0" pivotButton="0" quotePrefix="0" xfId="0"/>
    <xf numFmtId="169" fontId="27" fillId="7" borderId="0" pivotButton="0" quotePrefix="0" xfId="0"/>
    <xf numFmtId="169" fontId="28" fillId="8" borderId="0" pivotButton="0" quotePrefix="0" xfId="0"/>
    <xf numFmtId="167" fontId="25" fillId="3" borderId="0" pivotButton="0" quotePrefix="0" xfId="0"/>
    <xf numFmtId="167" fontId="25" fillId="0" borderId="0" pivotButton="0" quotePrefix="0" xfId="0"/>
    <xf numFmtId="167" fontId="25" fillId="0" borderId="1" pivotButton="0" quotePrefix="0" xfId="0"/>
    <xf numFmtId="169" fontId="21" fillId="3" borderId="0" pivotButton="0" quotePrefix="0" xfId="0"/>
    <xf numFmtId="169" fontId="21" fillId="0" borderId="0" pivotButton="0" quotePrefix="0" xfId="0"/>
    <xf numFmtId="169" fontId="21" fillId="0" borderId="1" pivotButton="0" quotePrefix="0" xfId="0"/>
    <xf numFmtId="169" fontId="21" fillId="7" borderId="0" pivotButton="0" quotePrefix="0" xfId="0"/>
    <xf numFmtId="167" fontId="20" fillId="0" borderId="0" pivotButton="0" quotePrefix="0" xfId="0"/>
    <xf numFmtId="169" fontId="14" fillId="0" borderId="0" pivotButton="0" quotePrefix="0" xfId="0"/>
    <xf numFmtId="43" fontId="14" fillId="0" borderId="0" pivotButton="0" quotePrefix="0" xfId="0"/>
    <xf numFmtId="167" fontId="21" fillId="0" borderId="0" pivotButton="0" quotePrefix="0" xfId="0"/>
    <xf numFmtId="166" fontId="18" fillId="0" borderId="0" pivotButton="0" quotePrefix="0" xfId="0"/>
    <xf numFmtId="169" fontId="28" fillId="7" borderId="0" pivotButton="0" quotePrefix="0" xfId="0"/>
    <xf numFmtId="167" fontId="29" fillId="8" borderId="0" pivotButton="0" quotePrefix="0" xfId="0"/>
    <xf numFmtId="169" fontId="27" fillId="8" borderId="0" pivotButton="0" quotePrefix="0" xfId="0"/>
    <xf numFmtId="169" fontId="12" fillId="8" borderId="0" pivotButton="0" quotePrefix="0" xfId="0"/>
    <xf numFmtId="169" fontId="27" fillId="3" borderId="0" pivotButton="0" quotePrefix="0" xfId="0"/>
    <xf numFmtId="169" fontId="12" fillId="3" borderId="0" pivotButton="0" quotePrefix="0" xfId="0"/>
    <xf numFmtId="169" fontId="18" fillId="3" borderId="0" pivotButton="0" quotePrefix="0" xfId="0"/>
    <xf numFmtId="169" fontId="18" fillId="0" borderId="0" pivotButton="0" quotePrefix="0" xfId="0"/>
    <xf numFmtId="169" fontId="18" fillId="0" borderId="1" pivotButton="0" quotePrefix="0" xfId="0"/>
    <xf numFmtId="169" fontId="18" fillId="0" borderId="0" pivotButton="0" quotePrefix="0" xfId="0"/>
    <xf numFmtId="169" fontId="22" fillId="3" borderId="0" pivotButton="0" quotePrefix="0" xfId="0"/>
    <xf numFmtId="169" fontId="22" fillId="0" borderId="0" pivotButton="0" quotePrefix="0" xfId="0"/>
    <xf numFmtId="169" fontId="22" fillId="0" borderId="1" pivotButton="0" quotePrefix="0" xfId="0"/>
    <xf numFmtId="169" fontId="26" fillId="3" borderId="0" pivotButton="0" quotePrefix="0" xfId="0"/>
    <xf numFmtId="167" fontId="18" fillId="3" borderId="0" pivotButton="0" quotePrefix="0" xfId="0"/>
    <xf numFmtId="167" fontId="18" fillId="0" borderId="0" pivotButton="0" quotePrefix="0" xfId="0"/>
    <xf numFmtId="167" fontId="18" fillId="0" borderId="1" pivotButton="0" quotePrefix="0" xfId="0"/>
    <xf numFmtId="167" fontId="30" fillId="7" borderId="0" pivotButton="0" quotePrefix="0" xfId="0"/>
    <xf numFmtId="167" fontId="20" fillId="0" borderId="1" pivotButton="0" quotePrefix="0" xfId="0"/>
    <xf numFmtId="167" fontId="20" fillId="0" borderId="0" pivotButton="0" quotePrefix="0" xfId="0"/>
    <xf numFmtId="170" fontId="18" fillId="3" borderId="0" pivotButton="0" quotePrefix="0" xfId="0"/>
    <xf numFmtId="170" fontId="18" fillId="0" borderId="1" pivotButton="0" quotePrefix="0" xfId="0"/>
    <xf numFmtId="170" fontId="18" fillId="0" borderId="0" pivotButton="0" quotePrefix="0" xfId="0"/>
    <xf numFmtId="170" fontId="23" fillId="8" borderId="0" pivotButton="0" quotePrefix="0" xfId="0"/>
    <xf numFmtId="170" fontId="23" fillId="7" borderId="0" pivotButton="0" quotePrefix="0" xfId="0"/>
    <xf numFmtId="166" fontId="10" fillId="4" borderId="0" pivotButton="0" quotePrefix="0" xfId="1"/>
    <xf numFmtId="169" fontId="27" fillId="8" borderId="0" applyAlignment="1" pivotButton="0" quotePrefix="0" xfId="0">
      <alignment horizontal="left" indent="1"/>
    </xf>
    <xf numFmtId="167" fontId="30" fillId="8" borderId="0" applyAlignment="1" pivotButton="0" quotePrefix="0" xfId="0">
      <alignment horizontal="left" indent="1"/>
    </xf>
    <xf numFmtId="166" fontId="12" fillId="8" borderId="0" applyAlignment="1" pivotButton="0" quotePrefix="0" xfId="0">
      <alignment horizontal="left"/>
    </xf>
    <xf numFmtId="169" fontId="27" fillId="8" borderId="0" applyAlignment="1" pivotButton="0" quotePrefix="0" xfId="0">
      <alignment horizontal="left" indent="1"/>
    </xf>
    <xf numFmtId="169" fontId="13" fillId="8" borderId="0" pivotButton="0" quotePrefix="0" xfId="0"/>
    <xf numFmtId="169" fontId="12" fillId="7" borderId="0" pivotButton="0" quotePrefix="0" xfId="0"/>
    <xf numFmtId="169" fontId="13" fillId="8" borderId="1" pivotButton="0" quotePrefix="0" xfId="0"/>
    <xf numFmtId="169" fontId="13" fillId="3" borderId="0" pivotButton="0" quotePrefix="0" xfId="0"/>
    <xf numFmtId="169" fontId="12" fillId="8" borderId="0" pivotButton="0" quotePrefix="0" xfId="0"/>
    <xf numFmtId="169" fontId="12" fillId="8" borderId="1" pivotButton="0" quotePrefix="0" xfId="0"/>
    <xf numFmtId="169" fontId="27" fillId="8" borderId="0" pivotButton="0" quotePrefix="0" xfId="0"/>
    <xf numFmtId="169" fontId="27" fillId="8" borderId="1" pivotButton="0" quotePrefix="0" xfId="0"/>
    <xf numFmtId="169" fontId="13" fillId="7" borderId="0" pivotButton="0" quotePrefix="0" xfId="0"/>
    <xf numFmtId="167" fontId="30" fillId="0" borderId="0" pivotButton="0" quotePrefix="0" xfId="0"/>
    <xf numFmtId="167" fontId="30" fillId="0" borderId="1" pivotButton="0" quotePrefix="0" xfId="0"/>
    <xf numFmtId="169" fontId="22" fillId="0" borderId="1" pivotButton="0" quotePrefix="0" xfId="0"/>
    <xf numFmtId="169" fontId="18" fillId="0" borderId="0" pivotButton="0" quotePrefix="0" xfId="0"/>
    <xf numFmtId="169" fontId="23" fillId="3" borderId="0" pivotButton="0" quotePrefix="0" xfId="0"/>
    <xf numFmtId="169" fontId="23" fillId="8" borderId="0" pivotButton="0" quotePrefix="0" xfId="0"/>
    <xf numFmtId="169" fontId="23" fillId="6" borderId="5" pivotButton="0" quotePrefix="0" xfId="0"/>
    <xf numFmtId="169" fontId="23" fillId="6" borderId="6" pivotButton="0" quotePrefix="0" xfId="0"/>
    <xf numFmtId="169" fontId="26" fillId="7" borderId="0" pivotButton="0" quotePrefix="0" xfId="0"/>
    <xf numFmtId="169" fontId="26" fillId="8" borderId="0" pivotButton="0" quotePrefix="0" xfId="0"/>
    <xf numFmtId="169" fontId="22" fillId="6" borderId="5" pivotButton="0" quotePrefix="0" xfId="0"/>
    <xf numFmtId="169" fontId="22" fillId="6" borderId="6" pivotButton="0" quotePrefix="0" xfId="0"/>
    <xf numFmtId="167" fontId="25" fillId="8" borderId="0" pivotButton="0" quotePrefix="0" xfId="0"/>
    <xf numFmtId="167" fontId="25" fillId="0" borderId="0" pivotButton="0" quotePrefix="0" xfId="0"/>
    <xf numFmtId="167" fontId="25" fillId="3" borderId="0" pivotButton="0" quotePrefix="0" xfId="0"/>
    <xf numFmtId="167" fontId="25" fillId="0" borderId="0" pivotButton="0" quotePrefix="0" xfId="0"/>
    <xf numFmtId="0" fontId="14" fillId="6" borderId="4" pivotButton="0" quotePrefix="0" xfId="0"/>
    <xf numFmtId="169" fontId="26" fillId="6" borderId="5" pivotButton="0" quotePrefix="0" xfId="0"/>
    <xf numFmtId="169" fontId="26" fillId="6" borderId="6" pivotButton="0" quotePrefix="0" xfId="0"/>
    <xf numFmtId="171" fontId="6" fillId="10" borderId="9" applyAlignment="1" pivotButton="0" quotePrefix="0" xfId="0">
      <alignment horizontal="center"/>
    </xf>
    <xf numFmtId="172" fontId="6" fillId="10" borderId="9" applyAlignment="1" pivotButton="0" quotePrefix="0" xfId="0">
      <alignment horizontal="center"/>
    </xf>
    <xf numFmtId="170" fontId="12" fillId="6" borderId="11" pivotButton="0" quotePrefix="0" xfId="0"/>
    <xf numFmtId="170" fontId="12" fillId="6" borderId="12" pivotButton="0" quotePrefix="0" xfId="0"/>
    <xf numFmtId="0" fontId="14" fillId="0" borderId="2" pivotButton="0" quotePrefix="0" xfId="0"/>
    <xf numFmtId="0" fontId="20" fillId="0" borderId="0" applyAlignment="1" pivotButton="0" quotePrefix="0" xfId="0">
      <alignment horizontal="left" indent="2"/>
    </xf>
    <xf numFmtId="0" fontId="20" fillId="0" borderId="2" applyAlignment="1" pivotButton="0" quotePrefix="0" xfId="0">
      <alignment horizontal="left" indent="1"/>
    </xf>
    <xf numFmtId="169" fontId="14" fillId="3" borderId="2" pivotButton="0" quotePrefix="0" xfId="0"/>
    <xf numFmtId="0" fontId="14" fillId="0" borderId="0" pivotButton="0" quotePrefix="0" xfId="0"/>
    <xf numFmtId="0" fontId="20" fillId="0" borderId="0" applyAlignment="1" pivotButton="0" quotePrefix="0" xfId="0">
      <alignment horizontal="left" indent="1"/>
    </xf>
    <xf numFmtId="166" fontId="20" fillId="0" borderId="1" pivotButton="0" quotePrefix="0" xfId="0"/>
    <xf numFmtId="167" fontId="20" fillId="0" borderId="0" pivotButton="0" quotePrefix="0" xfId="0"/>
    <xf numFmtId="167" fontId="20" fillId="3" borderId="0" pivotButton="0" quotePrefix="0" xfId="0"/>
    <xf numFmtId="167" fontId="20" fillId="0" borderId="2" pivotButton="0" quotePrefix="0" xfId="0"/>
    <xf numFmtId="167" fontId="20" fillId="3" borderId="2" pivotButton="0" quotePrefix="0" xfId="0"/>
    <xf numFmtId="165" fontId="16" fillId="2" borderId="0" applyAlignment="1" pivotButton="0" quotePrefix="0" xfId="0">
      <alignment horizontal="center"/>
    </xf>
    <xf numFmtId="0" fontId="36" fillId="0" borderId="0" applyAlignment="1" pivotButton="0" quotePrefix="0" xfId="0">
      <alignment horizontal="right"/>
    </xf>
    <xf numFmtId="0" fontId="18" fillId="0" borderId="0" applyAlignment="1" pivotButton="0" quotePrefix="0" xfId="0">
      <alignment horizontal="left"/>
    </xf>
    <xf numFmtId="9" fontId="20" fillId="0" borderId="0" applyAlignment="1" pivotButton="0" quotePrefix="0" xfId="3">
      <alignment horizontal="left" indent="1"/>
    </xf>
    <xf numFmtId="169" fontId="14" fillId="0" borderId="2" pivotButton="0" quotePrefix="0" xfId="0"/>
    <xf numFmtId="167" fontId="20" fillId="0" borderId="3" pivotButton="0" quotePrefix="0" xfId="0"/>
    <xf numFmtId="169" fontId="26" fillId="0" borderId="0" pivotButton="0" quotePrefix="0" xfId="0"/>
    <xf numFmtId="169" fontId="21" fillId="0" borderId="1" pivotButton="0" quotePrefix="0" xfId="0"/>
    <xf numFmtId="169" fontId="14" fillId="0" borderId="3" pivotButton="0" quotePrefix="0" xfId="0"/>
    <xf numFmtId="166" fontId="20" fillId="3" borderId="2" pivotButton="0" quotePrefix="0" xfId="0"/>
    <xf numFmtId="0" fontId="14" fillId="0" borderId="2" applyAlignment="1" pivotButton="0" quotePrefix="0" xfId="0">
      <alignment horizontal="left" indent="1"/>
    </xf>
    <xf numFmtId="0" fontId="14" fillId="0" borderId="5" pivotButton="0" quotePrefix="0" xfId="0"/>
    <xf numFmtId="169" fontId="14" fillId="3" borderId="5" pivotButton="0" quotePrefix="0" xfId="0"/>
    <xf numFmtId="169" fontId="14" fillId="0" borderId="5" pivotButton="0" quotePrefix="0" xfId="0"/>
    <xf numFmtId="169" fontId="14" fillId="0" borderId="6" pivotButton="0" quotePrefix="0" xfId="0"/>
    <xf numFmtId="167" fontId="24" fillId="0" borderId="2" pivotButton="0" quotePrefix="0" xfId="0"/>
    <xf numFmtId="170" fontId="22" fillId="8" borderId="0" pivotButton="0" quotePrefix="0" xfId="0"/>
    <xf numFmtId="166" fontId="18" fillId="6" borderId="5" pivotButton="0" quotePrefix="0" xfId="0"/>
    <xf numFmtId="166" fontId="18" fillId="6" borderId="6" pivotButton="0" quotePrefix="0" xfId="0"/>
    <xf numFmtId="169" fontId="23" fillId="8" borderId="0" applyAlignment="1" pivotButton="0" quotePrefix="0" xfId="0">
      <alignment horizontal="left"/>
    </xf>
    <xf numFmtId="169" fontId="14" fillId="8" borderId="0" applyAlignment="1" pivotButton="0" quotePrefix="0" xfId="0">
      <alignment horizontal="left" indent="1"/>
    </xf>
    <xf numFmtId="169" fontId="14" fillId="8" borderId="2" applyAlignment="1" pivotButton="0" quotePrefix="0" xfId="0">
      <alignment horizontal="left" indent="1"/>
    </xf>
    <xf numFmtId="169" fontId="35" fillId="3" borderId="0" pivotButton="0" quotePrefix="0" xfId="0"/>
    <xf numFmtId="169" fontId="35" fillId="0" borderId="0" pivotButton="0" quotePrefix="0" xfId="0"/>
    <xf numFmtId="169" fontId="35" fillId="0" borderId="1" pivotButton="0" quotePrefix="0" xfId="0"/>
    <xf numFmtId="169" fontId="35" fillId="3" borderId="2" pivotButton="0" quotePrefix="0" xfId="0"/>
    <xf numFmtId="169" fontId="35" fillId="0" borderId="2" pivotButton="0" quotePrefix="0" xfId="0"/>
    <xf numFmtId="169" fontId="35" fillId="0" borderId="3" pivotButton="0" quotePrefix="0" xfId="0"/>
    <xf numFmtId="0" fontId="14" fillId="0" borderId="2" applyAlignment="1" pivotButton="0" quotePrefix="0" xfId="0">
      <alignment horizontal="right"/>
    </xf>
    <xf numFmtId="0" fontId="14" fillId="0" borderId="5" applyAlignment="1" pivotButton="0" quotePrefix="0" xfId="0">
      <alignment horizontal="right"/>
    </xf>
    <xf numFmtId="0" fontId="20" fillId="0" borderId="2" applyAlignment="1" pivotButton="0" quotePrefix="0" xfId="0">
      <alignment horizontal="right"/>
    </xf>
    <xf numFmtId="0" fontId="19" fillId="0" borderId="0" applyAlignment="1" pivotButton="0" quotePrefix="0" xfId="0">
      <alignment horizontal="right"/>
    </xf>
    <xf numFmtId="0" fontId="14" fillId="3" borderId="0" pivotButton="0" quotePrefix="0" xfId="0"/>
    <xf numFmtId="167" fontId="14" fillId="0" borderId="0" pivotButton="0" quotePrefix="0" xfId="0"/>
    <xf numFmtId="0" fontId="20" fillId="6" borderId="11" applyAlignment="1" pivotButton="0" quotePrefix="0" xfId="0">
      <alignment horizontal="right"/>
    </xf>
    <xf numFmtId="0" fontId="14" fillId="6" borderId="11" pivotButton="0" quotePrefix="0" xfId="0"/>
    <xf numFmtId="0" fontId="18" fillId="0" borderId="2" pivotButton="0" quotePrefix="0" xfId="0"/>
    <xf numFmtId="0" fontId="18" fillId="6" borderId="10" pivotButton="0" quotePrefix="0" xfId="0"/>
    <xf numFmtId="43" fontId="18" fillId="3" borderId="0" pivotButton="0" quotePrefix="0" xfId="0"/>
    <xf numFmtId="0" fontId="14" fillId="6" borderId="5" pivotButton="0" quotePrefix="0" xfId="0"/>
    <xf numFmtId="0" fontId="14" fillId="6" borderId="2" pivotButton="0" quotePrefix="0" xfId="0"/>
    <xf numFmtId="169" fontId="18" fillId="6" borderId="5" pivotButton="0" quotePrefix="0" xfId="0"/>
    <xf numFmtId="169" fontId="18" fillId="6" borderId="6" pivotButton="0" quotePrefix="0" xfId="0"/>
    <xf numFmtId="0" fontId="14" fillId="0" borderId="0" applyAlignment="1" pivotButton="0" quotePrefix="0" xfId="0">
      <alignment horizontal="center"/>
    </xf>
    <xf numFmtId="0" fontId="18" fillId="0" borderId="0" pivotButton="0" quotePrefix="0" xfId="0"/>
    <xf numFmtId="0" fontId="14" fillId="0" borderId="0" pivotButton="0" quotePrefix="0" xfId="0"/>
    <xf numFmtId="169" fontId="21" fillId="3" borderId="0" pivotButton="0" quotePrefix="0" xfId="0"/>
    <xf numFmtId="169" fontId="23" fillId="0" borderId="0" pivotButton="0" quotePrefix="0" xfId="0"/>
    <xf numFmtId="169" fontId="23" fillId="0" borderId="1" pivotButton="0" quotePrefix="0" xfId="0"/>
    <xf numFmtId="169" fontId="23" fillId="0" borderId="0" pivotButton="0" quotePrefix="0" xfId="0"/>
    <xf numFmtId="169" fontId="26" fillId="0" borderId="1" pivotButton="0" quotePrefix="0" xfId="0"/>
    <xf numFmtId="169" fontId="26" fillId="3" borderId="2" pivotButton="0" quotePrefix="0" xfId="0"/>
    <xf numFmtId="169" fontId="26" fillId="0" borderId="2" pivotButton="0" quotePrefix="0" xfId="0"/>
    <xf numFmtId="169" fontId="26" fillId="0" borderId="3" pivotButton="0" quotePrefix="0" xfId="0"/>
    <xf numFmtId="169" fontId="0" fillId="7" borderId="0" pivotButton="0" quotePrefix="0" xfId="0"/>
    <xf numFmtId="173" fontId="21" fillId="3" borderId="0" pivotButton="0" quotePrefix="0" xfId="0"/>
    <xf numFmtId="43" fontId="18" fillId="0" borderId="0" pivotButton="0" quotePrefix="0" xfId="0"/>
    <xf numFmtId="43" fontId="18" fillId="0" borderId="1" pivotButton="0" quotePrefix="0" xfId="0"/>
    <xf numFmtId="0" fontId="20" fillId="0" borderId="0" applyAlignment="1" pivotButton="0" quotePrefix="0" xfId="0">
      <alignment horizontal="left" indent="1"/>
    </xf>
    <xf numFmtId="167" fontId="14" fillId="0" borderId="0" pivotButton="0" quotePrefix="0" xfId="0"/>
    <xf numFmtId="167" fontId="14" fillId="0" borderId="1" pivotButton="0" quotePrefix="0" xfId="0"/>
    <xf numFmtId="167" fontId="25" fillId="3" borderId="2" pivotButton="0" quotePrefix="0" xfId="0"/>
    <xf numFmtId="0" fontId="20" fillId="0" borderId="8" applyAlignment="1" pivotButton="0" quotePrefix="0" xfId="0">
      <alignment horizontal="left" indent="1"/>
    </xf>
    <xf numFmtId="0" fontId="10" fillId="4" borderId="0" pivotButton="0" quotePrefix="0" xfId="1"/>
    <xf numFmtId="169" fontId="14" fillId="0" borderId="0" pivotButton="0" quotePrefix="0" xfId="0"/>
    <xf numFmtId="169" fontId="10" fillId="4" borderId="0" pivotButton="0" quotePrefix="0" xfId="1"/>
    <xf numFmtId="0" fontId="11" fillId="5" borderId="0" pivotButton="0" quotePrefix="0" xfId="2"/>
    <xf numFmtId="169" fontId="10" fillId="4" borderId="0" pivotButton="0" quotePrefix="0" xfId="1"/>
    <xf numFmtId="169" fontId="14" fillId="0" borderId="0" pivotButton="0" quotePrefix="0" xfId="0"/>
    <xf numFmtId="169" fontId="34" fillId="9" borderId="0" pivotButton="0" quotePrefix="0" xfId="4"/>
    <xf numFmtId="167" fontId="20" fillId="3" borderId="2" pivotButton="0" quotePrefix="0" xfId="0"/>
    <xf numFmtId="167" fontId="20" fillId="0" borderId="2" pivotButton="0" quotePrefix="0" xfId="0"/>
    <xf numFmtId="167" fontId="20" fillId="0" borderId="3" pivotButton="0" quotePrefix="0" xfId="0"/>
    <xf numFmtId="167" fontId="20" fillId="3" borderId="0" pivotButton="0" quotePrefix="0" xfId="0"/>
    <xf numFmtId="167" fontId="20" fillId="0" borderId="0" pivotButton="0" quotePrefix="0" xfId="0"/>
    <xf numFmtId="167" fontId="20" fillId="0" borderId="1" pivotButton="0" quotePrefix="0" xfId="0"/>
    <xf numFmtId="167" fontId="24" fillId="0" borderId="0" pivotButton="0" quotePrefix="0" xfId="0"/>
    <xf numFmtId="167" fontId="25" fillId="0" borderId="0" pivotButton="0" quotePrefix="0" xfId="0"/>
    <xf numFmtId="167" fontId="25" fillId="3" borderId="2" pivotButton="0" quotePrefix="0" xfId="0"/>
    <xf numFmtId="167" fontId="24" fillId="0" borderId="2" pivotButton="0" quotePrefix="0" xfId="0"/>
    <xf numFmtId="169" fontId="21" fillId="0" borderId="1" pivotButton="0" quotePrefix="0" xfId="1"/>
    <xf numFmtId="169" fontId="18" fillId="0" borderId="1" pivotButton="0" quotePrefix="0" xfId="1"/>
    <xf numFmtId="172" fontId="0" fillId="0" borderId="0" pivotButton="0" quotePrefix="0" xfId="0"/>
    <xf numFmtId="172" fontId="10" fillId="4" borderId="0" pivotButton="0" quotePrefix="0" xfId="1"/>
    <xf numFmtId="169" fontId="14" fillId="0" borderId="1" pivotButton="0" quotePrefix="0" xfId="1"/>
    <xf numFmtId="167" fontId="14" fillId="6" borderId="2" pivotButton="0" quotePrefix="0" xfId="0"/>
    <xf numFmtId="167" fontId="14" fillId="6" borderId="3" pivotButton="0" quotePrefix="0" xfId="0"/>
    <xf numFmtId="172" fontId="14" fillId="6" borderId="2" pivotButton="0" quotePrefix="0" xfId="0"/>
    <xf numFmtId="172" fontId="14" fillId="6" borderId="3" pivotButton="0" quotePrefix="0" xfId="0"/>
    <xf numFmtId="167" fontId="14" fillId="0" borderId="0" pivotButton="0" quotePrefix="0" xfId="0"/>
    <xf numFmtId="167" fontId="14" fillId="0" borderId="1" pivotButton="0" quotePrefix="0" xfId="0"/>
    <xf numFmtId="172" fontId="14" fillId="0" borderId="0" pivotButton="0" quotePrefix="0" xfId="0"/>
    <xf numFmtId="43" fontId="18" fillId="3" borderId="0" pivotButton="0" quotePrefix="0" xfId="0"/>
    <xf numFmtId="43" fontId="18" fillId="0" borderId="0" pivotButton="0" quotePrefix="0" xfId="0"/>
    <xf numFmtId="43" fontId="18" fillId="0" borderId="1" pivotButton="0" quotePrefix="0" xfId="0"/>
    <xf numFmtId="43" fontId="18" fillId="6" borderId="5" pivotButton="0" quotePrefix="0" xfId="0"/>
    <xf numFmtId="43" fontId="18" fillId="6" borderId="6" applyAlignment="1" pivotButton="0" quotePrefix="0" xfId="0">
      <alignment horizontal="right"/>
    </xf>
    <xf numFmtId="43" fontId="18" fillId="6" borderId="6" pivotButton="0" quotePrefix="0" xfId="0"/>
    <xf numFmtId="167" fontId="20" fillId="6" borderId="0" pivotButton="0" quotePrefix="0" xfId="0"/>
    <xf numFmtId="167" fontId="20" fillId="6" borderId="1" pivotButton="0" quotePrefix="0" xfId="0"/>
    <xf numFmtId="167" fontId="14" fillId="6" borderId="0" pivotButton="0" quotePrefix="0" xfId="0"/>
    <xf numFmtId="167" fontId="14" fillId="6" borderId="1" pivotButton="0" quotePrefix="0" xfId="0"/>
    <xf numFmtId="43" fontId="18" fillId="6" borderId="0" pivotButton="0" quotePrefix="0" xfId="0"/>
    <xf numFmtId="43" fontId="18" fillId="6" borderId="1" pivotButton="0" quotePrefix="0" xfId="0"/>
    <xf numFmtId="167" fontId="20" fillId="6" borderId="2" pivotButton="0" quotePrefix="0" xfId="0"/>
    <xf numFmtId="167" fontId="20" fillId="6" borderId="3" pivotButton="0" quotePrefix="0" xfId="0"/>
    <xf numFmtId="43" fontId="21" fillId="3" borderId="0" pivotButton="0" quotePrefix="0" xfId="0"/>
    <xf numFmtId="43" fontId="21" fillId="0" borderId="0" pivotButton="0" quotePrefix="0" xfId="0"/>
    <xf numFmtId="43" fontId="21" fillId="0" borderId="1" pivotButton="0" quotePrefix="0" xfId="0"/>
    <xf numFmtId="43" fontId="14" fillId="0" borderId="0" pivotButton="0" quotePrefix="0" xfId="0"/>
    <xf numFmtId="43" fontId="14" fillId="3" borderId="0" pivotButton="0" quotePrefix="0" xfId="0"/>
    <xf numFmtId="168" fontId="14" fillId="0" borderId="0" pivotButton="0" quotePrefix="0" xfId="0"/>
    <xf numFmtId="167" fontId="24" fillId="3" borderId="0" pivotButton="0" quotePrefix="0" xfId="0"/>
    <xf numFmtId="167" fontId="14" fillId="3" borderId="0" pivotButton="0" quotePrefix="0" xfId="0"/>
    <xf numFmtId="167" fontId="21" fillId="0" borderId="0" pivotButton="0" quotePrefix="0" xfId="0"/>
    <xf numFmtId="167" fontId="21" fillId="3" borderId="0" pivotButton="0" quotePrefix="0" xfId="0"/>
    <xf numFmtId="43" fontId="22" fillId="6" borderId="5" pivotButton="0" quotePrefix="0" xfId="0"/>
    <xf numFmtId="43" fontId="23" fillId="6" borderId="5" pivotButton="0" quotePrefix="0" xfId="0"/>
    <xf numFmtId="43" fontId="22" fillId="6" borderId="6" pivotButton="0" quotePrefix="0" xfId="0"/>
    <xf numFmtId="43" fontId="23" fillId="6" borderId="6" pivotButton="0" quotePrefix="0" xfId="0"/>
    <xf numFmtId="167" fontId="24" fillId="6" borderId="2" pivotButton="0" quotePrefix="0" xfId="0"/>
    <xf numFmtId="167" fontId="25" fillId="6" borderId="2" pivotButton="0" quotePrefix="0" xfId="0"/>
    <xf numFmtId="167" fontId="25" fillId="6" borderId="3" pivotButton="0" quotePrefix="0" xfId="0"/>
    <xf numFmtId="167" fontId="26" fillId="3" borderId="0" pivotButton="0" quotePrefix="0" xfId="0"/>
    <xf numFmtId="167" fontId="25" fillId="3" borderId="0" pivotButton="0" quotePrefix="0" xfId="0"/>
    <xf numFmtId="167" fontId="25" fillId="0" borderId="1" pivotButton="0" quotePrefix="0" xfId="0"/>
    <xf numFmtId="167" fontId="29" fillId="8" borderId="0" pivotButton="0" quotePrefix="0" xfId="0"/>
    <xf numFmtId="167" fontId="25" fillId="8" borderId="0" pivotButton="0" quotePrefix="0" xfId="0"/>
    <xf numFmtId="167" fontId="30" fillId="7" borderId="0" pivotButton="0" quotePrefix="0" xfId="0"/>
    <xf numFmtId="167" fontId="18" fillId="3" borderId="0" pivotButton="0" quotePrefix="0" xfId="0"/>
    <xf numFmtId="167" fontId="18" fillId="0" borderId="0" pivotButton="0" quotePrefix="0" xfId="0"/>
    <xf numFmtId="167" fontId="18" fillId="0" borderId="1" pivotButton="0" quotePrefix="0" xfId="0"/>
    <xf numFmtId="167" fontId="30" fillId="8" borderId="0" applyAlignment="1" pivotButton="0" quotePrefix="0" xfId="0">
      <alignment horizontal="left" indent="1"/>
    </xf>
    <xf numFmtId="167" fontId="30" fillId="0" borderId="0" pivotButton="0" quotePrefix="0" xfId="0"/>
    <xf numFmtId="167" fontId="30" fillId="0" borderId="1" pivotButton="0" quotePrefix="0" xfId="0"/>
    <xf numFmtId="43" fontId="2" fillId="3" borderId="5" pivotButton="0" quotePrefix="0" xfId="0"/>
    <xf numFmtId="43" fontId="2" fillId="3" borderId="6" applyAlignment="1" pivotButton="0" quotePrefix="0" xfId="0">
      <alignment horizontal="right"/>
    </xf>
    <xf numFmtId="43" fontId="2" fillId="3" borderId="6" pivotButton="0" quotePrefix="0" xfId="0"/>
    <xf numFmtId="167" fontId="5" fillId="3" borderId="0" pivotButton="0" quotePrefix="0" xfId="0"/>
    <xf numFmtId="167" fontId="5" fillId="3" borderId="1" pivotButton="0" quotePrefix="0" xfId="0"/>
    <xf numFmtId="167" fontId="0" fillId="3" borderId="0" pivotButton="0" quotePrefix="0" xfId="0"/>
    <xf numFmtId="167" fontId="0" fillId="3" borderId="1" pivotButton="0" quotePrefix="0" xfId="0"/>
    <xf numFmtId="43" fontId="2" fillId="3" borderId="0" pivotButton="0" quotePrefix="0" xfId="0"/>
    <xf numFmtId="43" fontId="2" fillId="3" borderId="1" pivotButton="0" quotePrefix="0" xfId="0"/>
    <xf numFmtId="167" fontId="5" fillId="3" borderId="2" pivotButton="0" quotePrefix="0" xfId="0"/>
    <xf numFmtId="167" fontId="5" fillId="3" borderId="3" pivotButton="0" quotePrefix="0" xfId="0"/>
    <xf numFmtId="43" fontId="6" fillId="3" borderId="0" pivotButton="0" quotePrefix="0" xfId="0"/>
    <xf numFmtId="43" fontId="6" fillId="0" borderId="1" pivotButton="0" quotePrefix="0" xfId="0"/>
    <xf numFmtId="43" fontId="0" fillId="0" borderId="0" pivotButton="0" quotePrefix="0" xfId="0"/>
    <xf numFmtId="43" fontId="0" fillId="3" borderId="0" pivotButton="0" quotePrefix="0" xfId="0"/>
    <xf numFmtId="168" fontId="0" fillId="0" borderId="0" pivotButton="0" quotePrefix="0" xfId="0"/>
    <xf numFmtId="167" fontId="6" fillId="0" borderId="0" pivotButton="0" quotePrefix="0" xfId="0"/>
    <xf numFmtId="167" fontId="6" fillId="3" borderId="0" pivotButton="0" quotePrefix="0" xfId="0"/>
    <xf numFmtId="43" fontId="6" fillId="0" borderId="0" pivotButton="0" quotePrefix="0" xfId="0"/>
    <xf numFmtId="167" fontId="5" fillId="0" borderId="1" pivotButton="0" quotePrefix="0" xfId="0"/>
    <xf numFmtId="167" fontId="5" fillId="0" borderId="0" pivotButton="0" quotePrefix="0" xfId="0"/>
  </cellXfs>
  <cellStyles count="5">
    <cellStyle name="Normal" xfId="0" builtinId="0"/>
    <cellStyle name="Bad" xfId="1" builtinId="27"/>
    <cellStyle name="Neutral" xfId="2" builtinId="28"/>
    <cellStyle name="Percent" xfId="3" builtinId="5"/>
    <cellStyle name="Good" xfId="4" builtinId="2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Hastings, Benjamin</author>
  </authors>
  <commentList>
    <comment ref="B9" authorId="0" shapeId="0">
      <text>
        <t>Hastings, Benjamin:
Operating</t>
      </text>
    </comment>
    <comment ref="B10" authorId="0" shapeId="0">
      <text>
        <t>Hastings, Benjamin:
Operating</t>
      </text>
    </comment>
    <comment ref="B23" authorId="0" shapeId="0">
      <text>
        <t>Hastings, Benjamin:
Management says that cost benefits are taking longer then expected to realize (from the autofleet and CarIQ acquisitions) but should start to see them end of FY'26 -- I still just assumed close to historic margins though as its hard to be sure.</t>
      </text>
    </comment>
    <comment ref="I55" authorId="0" shapeId="0">
      <text>
        <t>Hastings, Benjamin:
Had a big right down (130M DTA) and 52M legacy platform write off as they transition to the autofleet -- (M costs with CarIQ acquisiton</t>
      </text>
    </comment>
    <comment ref="O106" authorId="0" shapeId="0">
      <text>
        <t>Hastings, Benjamin:
RBC Multiple</t>
      </text>
    </comment>
    <comment ref="B113" authorId="0" shapeId="0">
      <text>
        <t>Hastings, Benjamin:
1-2% Management target -- assumed 2%/year</t>
      </text>
    </comment>
  </commentList>
</comments>
</file>

<file path=xl/comments/comment2.xml><?xml version="1.0" encoding="utf-8"?>
<comments xmlns="http://schemas.openxmlformats.org/spreadsheetml/2006/main">
  <authors>
    <author>Hastings, Benjamin</author>
  </authors>
  <commentList>
    <comment ref="J10" authorId="0" shapeId="0">
      <text>
        <t>Hastings, Benjamin:
Drievn by recent M&amp;A in AutoFleet and CarIQ -- and movement to digitalize their service/platform -- reduces costs and makes SME fleets economically feasible to target now -- driven a huge increase in EFNs Servicable Addresable Market (SAM) -- Management cited 60% cost reductions in CAC</t>
      </text>
    </comment>
    <comment ref="B13" authorId="0" shapeId="0">
      <text>
        <t>Hastings, Benjamin:
Fleets of 200+ vehicles</t>
      </text>
    </comment>
    <comment ref="B16" authorId="0" shapeId="0">
      <text>
        <t>Hastings, Benjamin:
Fleets of 5-200 vehicles</t>
      </text>
    </comment>
    <comment ref="K19" authorId="0" shapeId="0">
      <text>
        <t>Hastings, Benjamin:
Company Website</t>
      </text>
    </comment>
    <comment ref="E20" authorId="0" shapeId="0">
      <text>
        <t>Hastings, Benjamin:
Parted ways with large client lost around 275k VUM</t>
      </text>
    </comment>
    <comment ref="B24" authorId="0" shapeId="0">
      <text>
        <t>Hastings, Benjamin:
this is straight Dollars i.e. $400 -- it is not in millions -- proper would be 400/1000000</t>
      </text>
    </comment>
    <comment ref="P25" authorId="0" shapeId="0">
      <text>
        <t>Hastings, Benjamin:
As EFN continues to indentify and provide customers with greater cost reductions -- it increases their value prop and should drive higher rev/VUM -- additionaly mnagement believes that each vehicle is an opportunity to drive serv rev/vum</t>
      </text>
    </comment>
    <comment ref="Q25" authorId="0" shapeId="0">
      <text>
        <t>Hastings, Benjamin:
See q1'27 note</t>
      </text>
    </comment>
    <comment ref="R25" authorId="0" shapeId="0">
      <text>
        <t>Hastings, Benjamin:
prior</t>
      </text>
    </comment>
    <comment ref="S25" authorId="0" shapeId="0">
      <text>
        <t>Hastings, Benjamin:
prior</t>
      </text>
    </comment>
    <comment ref="Y25" authorId="0" shapeId="0">
      <text>
        <t>Hastings, Benjamin:
stabalize to gdp+ makes sense giving the value prop should only get stronger</t>
      </text>
    </comment>
    <comment ref="Y56" authorId="0" shapeId="0">
      <text>
        <t>Hastings, Benjamin:
Tegus</t>
      </text>
    </comment>
  </commentList>
</comments>
</file>

<file path=xl/comments/comment3.xml><?xml version="1.0" encoding="utf-8"?>
<comments xmlns="http://schemas.openxmlformats.org/spreadsheetml/2006/main">
  <authors>
    <author>Tegus (AHA)</author>
  </authors>
  <commentList>
    <comment ref="B9" authorId="0" shapeId="0">
      <text>
        <t xml:space="preserve">Tegus (AHA):
Net of Continuing involvement liability </t>
      </text>
    </comment>
  </commentList>
</comments>
</file>

<file path=xl/comments/comment4.xml><?xml version="1.0" encoding="utf-8"?>
<comments xmlns="http://schemas.openxmlformats.org/spreadsheetml/2006/main">
  <authors>
    <author>Hastings, Benjamin</author>
  </authors>
  <commentList>
    <comment ref="F9" authorId="0" shapeId="0">
      <text>
        <t>Hastings, Benjamin:
Drievn by recent M&amp;A in AutoFleet and CarIQ -- and movement to digitalize their service/platform -- reduces costs and makes SME fleets economically feasible to target now -- driven a huge increase in EFNs Servicable Addresable Market (SAM) -- Management cited 60% cost reductions in CAC</t>
      </text>
    </comment>
    <comment ref="G18" authorId="0" shapeId="0">
      <text>
        <t>Hastings, Benjamin:
Company Website</t>
      </text>
    </comment>
    <comment ref="E19" authorId="0" shapeId="0">
      <text>
        <t>Hastings, Benjamin:
Parted ways with large client lost around 275k VUM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B113"/>
  <sheetViews>
    <sheetView showGridLines="0" tabSelected="1" zoomScale="85" zoomScaleNormal="85" workbookViewId="0">
      <pane xSplit="3" ySplit="2" topLeftCell="D6" activePane="bottomRight" state="frozen"/>
      <selection pane="topRight" activeCell="D1" sqref="D1"/>
      <selection pane="bottomLeft" activeCell="A3" sqref="A3"/>
      <selection pane="bottomRight" activeCell="P25" sqref="P25"/>
    </sheetView>
  </sheetViews>
  <sheetFormatPr baseColWidth="8" defaultColWidth="9.140625" defaultRowHeight="15" outlineLevelRow="1"/>
  <cols>
    <col width="10.5703125" customWidth="1" style="305" min="1" max="1"/>
    <col width="59.28515625" bestFit="1" customWidth="1" style="307" min="2" max="2"/>
    <col width="9.140625" customWidth="1" style="307" min="3" max="3"/>
    <col width="10.5703125" customWidth="1" style="141" min="4" max="5"/>
    <col outlineLevel="1" width="10.5703125" customWidth="1" style="330" min="6" max="9"/>
    <col width="10.5703125" customWidth="1" style="141" min="10" max="10"/>
    <col outlineLevel="1" width="10.5703125" customWidth="1" style="143" min="11" max="11"/>
    <col outlineLevel="1" width="10.5703125" customWidth="1" style="330" min="12" max="14"/>
    <col width="10.5703125" customWidth="1" style="141" min="15" max="15"/>
    <col outlineLevel="1" width="10.5703125" customWidth="1" style="330" min="16" max="19"/>
    <col width="10.5703125" customWidth="1" style="141" min="20" max="23"/>
    <col width="9.140625" customWidth="1" style="330" min="24" max="24"/>
    <col width="9.5703125" bestFit="1" customWidth="1" style="330" min="25" max="25"/>
    <col width="9.140625" customWidth="1" style="330" min="26" max="26"/>
    <col width="9.140625" customWidth="1" style="307" min="27" max="16384"/>
  </cols>
  <sheetData>
    <row r="1">
      <c r="C1" s="72" t="n"/>
      <c r="D1" s="307" t="n"/>
      <c r="E1" s="307" t="n"/>
      <c r="F1" s="307" t="n"/>
      <c r="G1" s="307" t="n"/>
      <c r="H1" s="307" t="n"/>
      <c r="I1" s="307" t="n"/>
      <c r="J1" s="307" t="n"/>
      <c r="K1" s="73" t="n"/>
      <c r="L1" s="307" t="n"/>
      <c r="M1" s="307" t="n"/>
      <c r="N1" s="307" t="n"/>
      <c r="O1" s="307" t="n"/>
      <c r="P1" s="307" t="n"/>
      <c r="Q1" s="307" t="n"/>
      <c r="R1" s="307" t="n"/>
      <c r="S1" s="307" t="n"/>
      <c r="T1" s="307" t="n"/>
      <c r="U1" s="307" t="n"/>
      <c r="V1" s="307" t="n"/>
      <c r="W1" s="307" t="n"/>
      <c r="X1" s="307" t="n"/>
      <c r="Y1" s="307" t="n"/>
      <c r="Z1" s="307" t="n"/>
    </row>
    <row r="2" ht="18.75" customHeight="1" s="20">
      <c r="A2" s="305" t="inlineStr">
        <is>
          <t>x</t>
        </is>
      </c>
      <c r="B2" s="74" t="inlineStr">
        <is>
          <t>EFN Operating Model</t>
        </is>
      </c>
      <c r="C2" s="72" t="n"/>
      <c r="D2" s="307" t="n"/>
      <c r="E2" s="307" t="n"/>
      <c r="F2" s="307" t="n"/>
      <c r="G2" s="307" t="n"/>
      <c r="H2" s="307" t="n"/>
      <c r="I2" s="307" t="n"/>
      <c r="J2" s="307" t="n"/>
      <c r="K2" s="73" t="n"/>
      <c r="L2" s="307" t="n"/>
      <c r="M2" s="307" t="n"/>
      <c r="N2" s="307" t="n"/>
      <c r="O2" s="307" t="n"/>
      <c r="P2" s="307" t="n"/>
      <c r="Q2" s="307" t="n"/>
      <c r="R2" s="307" t="n"/>
      <c r="S2" s="307" t="n"/>
      <c r="T2" s="307" t="n"/>
      <c r="U2" s="307" t="n"/>
      <c r="V2" s="307" t="n"/>
      <c r="W2" s="307" t="n"/>
      <c r="X2" s="307" t="n"/>
      <c r="Y2" s="307" t="n"/>
      <c r="Z2" s="307" t="n"/>
    </row>
    <row r="3">
      <c r="C3" s="72" t="n"/>
      <c r="D3" s="307" t="n"/>
      <c r="E3" s="307" t="n"/>
      <c r="F3" s="307" t="n"/>
      <c r="G3" s="307" t="n"/>
      <c r="H3" s="307" t="n"/>
      <c r="I3" s="307" t="n"/>
      <c r="J3" s="307" t="n"/>
      <c r="K3" s="73" t="n"/>
      <c r="L3" s="307" t="n"/>
      <c r="M3" s="307" t="n"/>
      <c r="N3" s="307" t="n"/>
      <c r="O3" s="307" t="n"/>
      <c r="P3" s="307" t="n"/>
      <c r="Q3" s="307" t="n"/>
      <c r="R3" s="307" t="n"/>
      <c r="S3" s="307" t="n"/>
      <c r="T3" s="307" t="n"/>
      <c r="U3" s="307" t="n"/>
      <c r="V3" s="307" t="n"/>
      <c r="W3" s="307" t="n"/>
      <c r="X3" s="307" t="n"/>
      <c r="Y3" s="307" t="n"/>
      <c r="Z3" s="307" t="n"/>
    </row>
    <row r="4">
      <c r="C4" s="72" t="n"/>
      <c r="D4" s="307" t="n">
        <v>365</v>
      </c>
      <c r="E4" s="307" t="n">
        <v>366</v>
      </c>
      <c r="F4" s="307" t="n">
        <v>90</v>
      </c>
      <c r="G4" s="307" t="n">
        <v>91</v>
      </c>
      <c r="H4" s="307" t="n">
        <v>92</v>
      </c>
      <c r="I4" s="307" t="n">
        <v>92</v>
      </c>
      <c r="J4" s="307" t="n">
        <v>365</v>
      </c>
      <c r="K4" s="73" t="n">
        <v>90</v>
      </c>
      <c r="L4" s="307" t="n">
        <v>91</v>
      </c>
      <c r="M4" s="307" t="n">
        <v>92</v>
      </c>
      <c r="N4" s="307" t="n">
        <v>92</v>
      </c>
      <c r="O4" s="307" t="n">
        <v>365</v>
      </c>
      <c r="P4" s="307" t="n">
        <v>90</v>
      </c>
      <c r="Q4" s="307" t="n">
        <v>91</v>
      </c>
      <c r="R4" s="307" t="n">
        <v>92</v>
      </c>
      <c r="S4" s="307" t="n">
        <v>92</v>
      </c>
      <c r="T4" s="307" t="n">
        <v>365</v>
      </c>
      <c r="U4" s="307" t="n">
        <v>366</v>
      </c>
      <c r="V4" s="307" t="n">
        <v>365</v>
      </c>
      <c r="W4" s="307" t="n">
        <v>365</v>
      </c>
      <c r="X4" s="307" t="n"/>
      <c r="Y4" s="307" t="n"/>
      <c r="Z4" s="307" t="n"/>
    </row>
    <row r="5">
      <c r="A5" s="305" t="inlineStr">
        <is>
          <t>x</t>
        </is>
      </c>
      <c r="B5" s="75" t="inlineStr">
        <is>
          <t>Operating Model</t>
        </is>
      </c>
      <c r="C5" s="76" t="inlineStr">
        <is>
          <t>Units</t>
        </is>
      </c>
      <c r="D5" s="77" t="n">
        <v>2023</v>
      </c>
      <c r="E5" s="77">
        <f>D5+1</f>
        <v>2024.0</v>
      </c>
      <c r="F5" s="78" t="inlineStr">
        <is>
          <t>Q1'25A</t>
        </is>
      </c>
      <c r="G5" s="79" t="inlineStr">
        <is>
          <t>Q2'25A</t>
        </is>
      </c>
      <c r="H5" s="79" t="inlineStr">
        <is>
          <t>Q3'25A</t>
        </is>
      </c>
      <c r="I5" s="79" t="inlineStr">
        <is>
          <t>Q4'25A</t>
        </is>
      </c>
      <c r="J5" s="77">
        <f>E5+1</f>
        <v>2025.0</v>
      </c>
      <c r="K5" s="78" t="inlineStr">
        <is>
          <t>Q1'26A</t>
        </is>
      </c>
      <c r="L5" s="79" t="inlineStr">
        <is>
          <t>Q2'26E</t>
        </is>
      </c>
      <c r="M5" s="79" t="inlineStr">
        <is>
          <t>Q3'26E</t>
        </is>
      </c>
      <c r="N5" s="79" t="inlineStr">
        <is>
          <t>Q4'26E</t>
        </is>
      </c>
      <c r="O5" s="80">
        <f>J5+1</f>
        <v>2026.0</v>
      </c>
      <c r="P5" s="78" t="inlineStr">
        <is>
          <t>Q1'27E</t>
        </is>
      </c>
      <c r="Q5" s="79" t="inlineStr">
        <is>
          <t>Q2'27E</t>
        </is>
      </c>
      <c r="R5" s="79" t="inlineStr">
        <is>
          <t>Q3'27E</t>
        </is>
      </c>
      <c r="S5" s="79" t="inlineStr">
        <is>
          <t>Q4'27E</t>
        </is>
      </c>
      <c r="T5" s="80">
        <f>O5+1</f>
        <v>2027.0</v>
      </c>
      <c r="U5" s="80">
        <f>T5+1</f>
        <v>2028.0</v>
      </c>
      <c r="V5" s="80">
        <f>U5+1</f>
        <v>2029.0</v>
      </c>
      <c r="W5" s="80">
        <f>V5+1</f>
        <v>2030.0</v>
      </c>
      <c r="X5" s="307" t="n"/>
      <c r="Y5" s="307" t="n"/>
      <c r="Z5" s="307" t="n"/>
    </row>
    <row r="6" ht="5.1" customHeight="1" s="20">
      <c r="D6" s="307" t="n"/>
      <c r="E6" s="307" t="n"/>
      <c r="F6" s="307" t="n"/>
      <c r="G6" s="307" t="n"/>
      <c r="H6" s="307" t="n"/>
      <c r="I6" s="307" t="n"/>
      <c r="J6" s="307" t="n"/>
      <c r="K6" s="73" t="n"/>
      <c r="L6" s="307" t="n"/>
      <c r="M6" s="307" t="n"/>
      <c r="N6" s="307" t="n"/>
      <c r="O6" s="307" t="n"/>
      <c r="P6" s="307" t="n"/>
      <c r="Q6" s="307" t="n"/>
      <c r="R6" s="307" t="n"/>
      <c r="S6" s="307" t="n"/>
      <c r="T6" s="307" t="n"/>
      <c r="U6" s="307" t="n"/>
      <c r="V6" s="307" t="n"/>
      <c r="W6" s="307" t="n"/>
      <c r="X6" s="307" t="n"/>
      <c r="Y6" s="307" t="n"/>
      <c r="Z6" s="307" t="n"/>
    </row>
    <row r="7">
      <c r="B7" s="307" t="inlineStr">
        <is>
          <t>Interest Income</t>
        </is>
      </c>
      <c r="C7" s="118" t="inlineStr">
        <is>
          <t>$</t>
        </is>
      </c>
      <c r="D7" s="284">
        <f>'Revenue Build'!D50</f>
        <v>521.5027405877262</v>
      </c>
      <c r="E7" s="284">
        <f>'Revenue Build'!E50</f>
        <v>628.583</v>
      </c>
      <c r="F7" s="285">
        <f>'Revenue Build'!F50</f>
        <v>146.723</v>
      </c>
      <c r="G7" s="285">
        <f>'Revenue Build'!G50</f>
        <v>155.329</v>
      </c>
      <c r="H7" s="285">
        <f>'Revenue Build'!H50</f>
        <v>161.211</v>
      </c>
      <c r="I7" s="285">
        <f>'Revenue Build'!I50</f>
        <v>150.75799999999992</v>
      </c>
      <c r="J7" s="284">
        <f>'Revenue Build'!J50</f>
        <v>614.021</v>
      </c>
      <c r="K7" s="286">
        <f>'Revenue Build'!K50</f>
        <v>152.905</v>
      </c>
      <c r="L7" s="285">
        <f>'Revenue Build'!L50</f>
        <v>151.65871540656408</v>
      </c>
      <c r="M7" s="285">
        <f>'Revenue Build'!M50</f>
        <v>160.22161019926423</v>
      </c>
      <c r="N7" s="285">
        <f>'Revenue Build'!N50</f>
        <v>161.648402720087</v>
      </c>
      <c r="O7" s="284">
        <f>'Revenue Build'!O50</f>
        <v>626.4337283259154</v>
      </c>
      <c r="P7" s="285">
        <f>'Revenue Build'!P50</f>
        <v>157.26489769416594</v>
      </c>
      <c r="Q7" s="285">
        <f>'Revenue Build'!Q50</f>
        <v>163.36067142271145</v>
      </c>
      <c r="R7" s="285">
        <f>'Revenue Build'!R50</f>
        <v>171.82344005383746</v>
      </c>
      <c r="S7" s="285">
        <f>'Revenue Build'!S50</f>
        <v>172.93353508293947</v>
      </c>
      <c r="T7" s="284">
        <f>'Revenue Build'!T50</f>
        <v>665.3825442536543</v>
      </c>
      <c r="U7" s="284">
        <f>'Revenue Build'!U50</f>
        <v>704.5008335246781</v>
      </c>
      <c r="V7" s="284">
        <f>'Revenue Build'!V50</f>
        <v>748.8858312786875</v>
      </c>
      <c r="W7" s="284">
        <f>'Revenue Build'!W50</f>
        <v>789.55240145613</v>
      </c>
    </row>
    <row r="8">
      <c r="B8" s="307" t="inlineStr">
        <is>
          <t>Rental Revenue</t>
        </is>
      </c>
      <c r="C8" s="118" t="inlineStr">
        <is>
          <t>$</t>
        </is>
      </c>
      <c r="D8" s="284">
        <f>'Revenue Build'!D53</f>
        <v>803.2844545029208</v>
      </c>
      <c r="E8" s="284">
        <f>'Revenue Build'!E53</f>
        <v>897.311</v>
      </c>
      <c r="F8" s="285">
        <f>'Revenue Build'!F53</f>
        <v>223.255</v>
      </c>
      <c r="G8" s="285">
        <f>'Revenue Build'!G53</f>
        <v>244.844</v>
      </c>
      <c r="H8" s="285">
        <f>'Revenue Build'!H53</f>
        <v>254.166</v>
      </c>
      <c r="I8" s="285">
        <f>'Revenue Build'!I53</f>
        <v>258.84000000000003</v>
      </c>
      <c r="J8" s="284">
        <f>'Revenue Build'!J53</f>
        <v>981.105</v>
      </c>
      <c r="K8" s="286">
        <f>'Revenue Build'!K53</f>
        <v>283.732</v>
      </c>
      <c r="L8" s="285">
        <f>'Revenue Build'!L53</f>
        <v>281.65190004076186</v>
      </c>
      <c r="M8" s="285">
        <f>'Revenue Build'!M53</f>
        <v>297.55441894149067</v>
      </c>
      <c r="N8" s="285">
        <f>'Revenue Build'!N53</f>
        <v>300.20417648016155</v>
      </c>
      <c r="O8" s="284">
        <f>'Revenue Build'!O53</f>
        <v>1163.142495462414</v>
      </c>
      <c r="P8" s="285">
        <f>'Revenue Build'!P53</f>
        <v>292.0045286218444</v>
      </c>
      <c r="Q8" s="285">
        <f>'Revenue Build'!Q53</f>
        <v>303.32297005593296</v>
      </c>
      <c r="R8" s="285">
        <f>'Revenue Build'!R53</f>
        <v>319.03637337224944</v>
      </c>
      <c r="S8" s="285">
        <f>'Revenue Build'!S53</f>
        <v>321.09756299848607</v>
      </c>
      <c r="T8" s="284">
        <f>'Revenue Build'!T53</f>
        <v>1235.461435048513</v>
      </c>
      <c r="U8" s="284">
        <f>'Revenue Build'!U53</f>
        <v>1308.0950474220265</v>
      </c>
      <c r="V8" s="284">
        <f>'Revenue Build'!V53</f>
        <v>1390.5077188895382</v>
      </c>
      <c r="W8" s="284">
        <f>'Revenue Build'!W53</f>
        <v>1466.0161306803516</v>
      </c>
    </row>
    <row r="9">
      <c r="B9" s="167" t="inlineStr">
        <is>
          <t>Depreciation of equipment under operating leases</t>
        </is>
      </c>
      <c r="C9" s="118" t="inlineStr">
        <is>
          <t>$</t>
        </is>
      </c>
      <c r="D9" s="284">
        <f>'Revenue Build'!D56</f>
        <v>-483.4015864972002</v>
      </c>
      <c r="E9" s="284">
        <f>'Revenue Build'!E56</f>
        <v>-523.44</v>
      </c>
      <c r="F9" s="285">
        <f>'Revenue Build'!F56</f>
        <v>-130.208</v>
      </c>
      <c r="G9" s="285">
        <f>'Revenue Build'!G56</f>
        <v>-140.554</v>
      </c>
      <c r="H9" s="285">
        <f>'Revenue Build'!H56</f>
        <v>-150.066</v>
      </c>
      <c r="I9" s="285">
        <f>'Revenue Build'!I56</f>
        <v>-152.284</v>
      </c>
      <c r="J9" s="284">
        <f>'Revenue Build'!J56</f>
        <v>-573.112</v>
      </c>
      <c r="K9" s="286">
        <f>'Revenue Build'!K56</f>
        <v>-170.106</v>
      </c>
      <c r="L9" s="285">
        <f>'Revenue Build'!L56</f>
        <v>-170.106</v>
      </c>
      <c r="M9" s="285">
        <f>'Revenue Build'!M56</f>
        <v>-170.106</v>
      </c>
      <c r="N9" s="285">
        <f>'Revenue Build'!N56</f>
        <v>-170.106</v>
      </c>
      <c r="O9" s="284">
        <f>'Revenue Build'!O56</f>
        <v>-680.424</v>
      </c>
      <c r="P9" s="285">
        <f>'Revenue Build'!P56</f>
        <v>-180.106</v>
      </c>
      <c r="Q9" s="285">
        <f>'Revenue Build'!Q56</f>
        <v>-180.106</v>
      </c>
      <c r="R9" s="285">
        <f>'Revenue Build'!R56</f>
        <v>-180.106</v>
      </c>
      <c r="S9" s="285">
        <f>'Revenue Build'!S56</f>
        <v>-180.106</v>
      </c>
      <c r="T9" s="284">
        <f>'Revenue Build'!T56</f>
        <v>-720.424</v>
      </c>
      <c r="U9" s="284">
        <f>'Revenue Build'!U56</f>
        <v>-760.424</v>
      </c>
      <c r="V9" s="284">
        <f>'Revenue Build'!V56</f>
        <v>-800.424</v>
      </c>
      <c r="W9" s="284">
        <f>'Revenue Build'!W56</f>
        <v>-840.424</v>
      </c>
    </row>
    <row r="10">
      <c r="B10" s="167" t="inlineStr">
        <is>
          <t>Interest Expense</t>
        </is>
      </c>
      <c r="C10" s="118" t="inlineStr">
        <is>
          <t>$</t>
        </is>
      </c>
      <c r="D10" s="284">
        <f>'Revenue Build'!D57</f>
        <v>-430.6705315233152</v>
      </c>
      <c r="E10" s="284">
        <f>'Revenue Build'!E57</f>
        <v>-553.324</v>
      </c>
      <c r="F10" s="285">
        <f>'Revenue Build'!F57</f>
        <v>-128.214</v>
      </c>
      <c r="G10" s="285">
        <f>'Revenue Build'!G57</f>
        <v>-132.537</v>
      </c>
      <c r="H10" s="285">
        <f>'Revenue Build'!H57</f>
        <v>-135.103</v>
      </c>
      <c r="I10" s="285">
        <f>'Revenue Build'!I57</f>
        <v>-127.84300000000002</v>
      </c>
      <c r="J10" s="284">
        <f>'Revenue Build'!J57</f>
        <v>-523.697</v>
      </c>
      <c r="K10" s="286">
        <f>'Revenue Build'!K57</f>
        <v>-129.013</v>
      </c>
      <c r="L10" s="285">
        <f>'Revenue Build'!L57</f>
        <v>-138.9639341979897</v>
      </c>
      <c r="M10" s="285">
        <f>'Revenue Build'!M57</f>
        <v>-146.064020283337</v>
      </c>
      <c r="N10" s="285">
        <f>'Revenue Build'!N57</f>
        <v>-147.36473777982442</v>
      </c>
      <c r="O10" s="284">
        <f>'Revenue Build'!O57</f>
        <v>-561.4056922611511</v>
      </c>
      <c r="P10" s="285">
        <f>'Revenue Build'!P57</f>
        <v>-143.29286850913778</v>
      </c>
      <c r="Q10" s="285">
        <f>'Revenue Build'!Q57</f>
        <v>-148.84706983539044</v>
      </c>
      <c r="R10" s="285">
        <f>'Revenue Build'!R57</f>
        <v>-156.55797297056722</v>
      </c>
      <c r="S10" s="285">
        <f>'Revenue Build'!S57</f>
        <v>-157.5694428113902</v>
      </c>
      <c r="T10" s="284">
        <f>'Revenue Build'!T57</f>
        <v>-606.2673541264857</v>
      </c>
      <c r="U10" s="284">
        <f>'Revenue Build'!U57</f>
        <v>-641.9102214350951</v>
      </c>
      <c r="V10" s="284">
        <f>'Revenue Build'!V57</f>
        <v>-682.3518822265077</v>
      </c>
      <c r="W10" s="284">
        <f>'Revenue Build'!W57</f>
        <v>-719.4054751044691</v>
      </c>
    </row>
    <row r="11">
      <c r="B11" s="307" t="inlineStr">
        <is>
          <t>Net Financing Revenue</t>
        </is>
      </c>
      <c r="C11" s="118" t="inlineStr">
        <is>
          <t>$</t>
        </is>
      </c>
      <c r="D11" s="141">
        <f>SUM(D7:D10)</f>
        <v>410.7150770701315</v>
      </c>
      <c r="E11" s="141">
        <f>SUM(E7:E10)</f>
        <v>449.13</v>
      </c>
      <c r="F11" s="330">
        <f>SUM(F7:F10)</f>
        <v>111.55600000000001</v>
      </c>
      <c r="G11" s="330">
        <f>SUM(G7:G10)</f>
        <v>127.08200000000002</v>
      </c>
      <c r="H11" s="330">
        <f>SUM(H7:H10)</f>
        <v>130.20800000000003</v>
      </c>
      <c r="I11" s="330">
        <f>SUM(I7:I10)</f>
        <v>129.47099999999995</v>
      </c>
      <c r="J11" s="141">
        <f>SUM(J7:J10)</f>
        <v>498.317</v>
      </c>
      <c r="K11" s="143">
        <f>SUM(K7:K10)</f>
        <v>137.51800000000006</v>
      </c>
      <c r="L11" s="330">
        <f>SUM(L7:L10)</f>
        <v>124.24068124933629</v>
      </c>
      <c r="M11" s="330">
        <f>SUM(M7:M10)</f>
        <v>141.6060088574179</v>
      </c>
      <c r="N11" s="330">
        <f>SUM(N7:N10)</f>
        <v>144.38184142042414</v>
      </c>
      <c r="O11" s="141">
        <f>SUM(O7:O10)</f>
        <v>547.7465315271783</v>
      </c>
      <c r="P11" s="330">
        <f>SUM(P7:P10)</f>
        <v>125.87055780687254</v>
      </c>
      <c r="Q11" s="330">
        <f>SUM(Q7:Q10)</f>
        <v>137.73057164325397</v>
      </c>
      <c r="R11" s="330">
        <f>SUM(R7:R10)</f>
        <v>154.19584045551971</v>
      </c>
      <c r="S11" s="330">
        <f>SUM(S7:S10)</f>
        <v>156.35565527003533</v>
      </c>
      <c r="T11" s="141">
        <f>SUM(T7:T10)</f>
        <v>574.1526251756817</v>
      </c>
      <c r="U11" s="141">
        <f>SUM(U7:U10)</f>
        <v>610.2616595116097</v>
      </c>
      <c r="V11" s="141">
        <f>SUM(V7:V10)</f>
        <v>656.6176679417182</v>
      </c>
      <c r="W11" s="141">
        <f>SUM(W7:W10)</f>
        <v>695.7390570320126</v>
      </c>
    </row>
    <row r="12" ht="5.1" customHeight="1" s="20">
      <c r="C12" s="72" t="n"/>
    </row>
    <row r="13">
      <c r="B13" s="307" t="inlineStr">
        <is>
          <t>Service and Other Revenue, net</t>
        </is>
      </c>
      <c r="C13" s="118" t="inlineStr">
        <is>
          <t>$</t>
        </is>
      </c>
      <c r="D13" s="284">
        <f>'Revenue Build'!D27</f>
        <v>502.4317917629153</v>
      </c>
      <c r="E13" s="284">
        <f>'Revenue Build'!E27</f>
        <v>595.54</v>
      </c>
      <c r="F13" s="285">
        <f>'Revenue Build'!F27</f>
        <v>152.482</v>
      </c>
      <c r="G13" s="285">
        <f>'Revenue Build'!G27</f>
        <v>151.33599999999998</v>
      </c>
      <c r="H13" s="285">
        <f>'Revenue Build'!H27</f>
        <v>156.17000000000002</v>
      </c>
      <c r="I13" s="285">
        <f>'Revenue Build'!I27</f>
        <v>162.86400000000003</v>
      </c>
      <c r="J13" s="284">
        <f>'Revenue Build'!J27</f>
        <v>622.8520000000001</v>
      </c>
      <c r="K13" s="286">
        <f>'Revenue Build'!K27</f>
        <v>162.125</v>
      </c>
      <c r="L13" s="285">
        <f>'Revenue Build'!L27</f>
        <v>168.45724396289026</v>
      </c>
      <c r="M13" s="285">
        <f>'Revenue Build'!M27</f>
        <v>174.39249941226427</v>
      </c>
      <c r="N13" s="285">
        <f>'Revenue Build'!N27</f>
        <v>176.09542052097999</v>
      </c>
      <c r="O13" s="284">
        <f>'Revenue Build'!O27</f>
        <v>681.0701638961345</v>
      </c>
      <c r="P13" s="285">
        <f>'Revenue Build'!P27</f>
        <v>176.26842664556972</v>
      </c>
      <c r="Q13" s="285">
        <f>'Revenue Build'!Q27</f>
        <v>185.93077850079686</v>
      </c>
      <c r="R13" s="285">
        <f>'Revenue Build'!R27</f>
        <v>193.55419908482514</v>
      </c>
      <c r="S13" s="285">
        <f>'Revenue Build'!S27</f>
        <v>193.07174898282219</v>
      </c>
      <c r="T13" s="284">
        <f>'Revenue Build'!T27</f>
        <v>755.942758731395</v>
      </c>
      <c r="U13" s="284">
        <f>'Revenue Build'!U27</f>
        <v>841.296333483158</v>
      </c>
      <c r="V13" s="284">
        <f>'Revenue Build'!V27</f>
        <v>927.017545944622</v>
      </c>
      <c r="W13" s="284">
        <f>'Revenue Build'!W27</f>
        <v>1011.2991674188288</v>
      </c>
    </row>
    <row r="14" ht="5.1" customHeight="1" s="20">
      <c r="C14" s="72" t="n"/>
      <c r="D14" s="284" t="n"/>
      <c r="E14" s="284" t="n"/>
      <c r="F14" s="285" t="n"/>
      <c r="G14" s="285" t="n"/>
      <c r="H14" s="285" t="n"/>
      <c r="I14" s="285" t="n"/>
      <c r="J14" s="284" t="n"/>
      <c r="K14" s="286" t="n"/>
      <c r="L14" s="285" t="n"/>
      <c r="M14" s="285" t="n"/>
      <c r="N14" s="285" t="n"/>
      <c r="O14" s="284" t="n"/>
      <c r="P14" s="285" t="n"/>
      <c r="Q14" s="285" t="n"/>
      <c r="R14" s="285" t="n"/>
      <c r="S14" s="285" t="n"/>
      <c r="T14" s="284" t="n"/>
      <c r="U14" s="284" t="n"/>
      <c r="V14" s="284" t="n"/>
      <c r="W14" s="284" t="n"/>
    </row>
    <row r="15">
      <c r="B15" s="251" t="inlineStr">
        <is>
          <t>Syndication Revenue</t>
        </is>
      </c>
      <c r="C15" s="292" t="inlineStr">
        <is>
          <t>$</t>
        </is>
      </c>
      <c r="D15" s="287">
        <f>'Revenue Build'!D64</f>
        <v>45.553521445156186</v>
      </c>
      <c r="E15" s="287">
        <f>'Revenue Build'!E64</f>
        <v>42.89</v>
      </c>
      <c r="F15" s="288">
        <f>'Revenue Build'!F64</f>
        <v>11.633</v>
      </c>
      <c r="G15" s="288">
        <f>'Revenue Build'!G64</f>
        <v>11.608</v>
      </c>
      <c r="H15" s="288">
        <f>'Revenue Build'!H64</f>
        <v>20.012</v>
      </c>
      <c r="I15" s="288">
        <f>'Revenue Build'!I64</f>
        <v>21.087999999999994</v>
      </c>
      <c r="J15" s="287">
        <f>'Revenue Build'!J64</f>
        <v>64.341</v>
      </c>
      <c r="K15" s="289">
        <f>'Revenue Build'!K64</f>
        <v>23.873</v>
      </c>
      <c r="L15" s="288">
        <f>'Revenue Build'!L64</f>
        <v>20.0</v>
      </c>
      <c r="M15" s="288">
        <f>'Revenue Build'!M64</f>
        <v>20.0</v>
      </c>
      <c r="N15" s="288">
        <f>'Revenue Build'!N64</f>
        <v>20.0</v>
      </c>
      <c r="O15" s="287">
        <f>'Revenue Build'!O64</f>
        <v>83.873</v>
      </c>
      <c r="P15" s="288">
        <f>'Revenue Build'!P64</f>
        <v>20.0</v>
      </c>
      <c r="Q15" s="288">
        <f>'Revenue Build'!Q64</f>
        <v>20.0</v>
      </c>
      <c r="R15" s="288">
        <f>'Revenue Build'!R64</f>
        <v>20.0</v>
      </c>
      <c r="S15" s="288">
        <f>'Revenue Build'!S64</f>
        <v>20.0</v>
      </c>
      <c r="T15" s="287">
        <f>'Revenue Build'!T64</f>
        <v>80.0</v>
      </c>
      <c r="U15" s="287">
        <f>'Revenue Build'!U64</f>
        <v>80.0</v>
      </c>
      <c r="V15" s="287">
        <f>'Revenue Build'!V64</f>
        <v>80.0</v>
      </c>
      <c r="W15" s="287">
        <f>'Revenue Build'!W64</f>
        <v>80.0</v>
      </c>
    </row>
    <row r="16" ht="5.1" customHeight="1" s="20">
      <c r="C16" s="72" t="n"/>
    </row>
    <row r="17">
      <c r="A17" s="305" t="inlineStr">
        <is>
          <t>x</t>
        </is>
      </c>
      <c r="B17" s="306" t="inlineStr">
        <is>
          <t>Net Revenue</t>
        </is>
      </c>
      <c r="C17" s="293" t="inlineStr">
        <is>
          <t>$</t>
        </is>
      </c>
      <c r="D17" s="195">
        <f>D15+D13+D11</f>
        <v>958.700390278203</v>
      </c>
      <c r="E17" s="195">
        <f>E15+E13+E11</f>
        <v>1087.56</v>
      </c>
      <c r="F17" s="231">
        <f>F15+F13+F11</f>
        <v>275.67100000000005</v>
      </c>
      <c r="G17" s="231">
        <f>G15+G13+G11</f>
        <v>290.026</v>
      </c>
      <c r="H17" s="231">
        <f>H15+H13+H11</f>
        <v>306.39000000000004</v>
      </c>
      <c r="I17" s="231">
        <f>I15+I13+I11</f>
        <v>313.423</v>
      </c>
      <c r="J17" s="195">
        <f>J15+J13+J11</f>
        <v>1185.5100000000002</v>
      </c>
      <c r="K17" s="197">
        <f>K15+K13+K11</f>
        <v>323.5160000000001</v>
      </c>
      <c r="L17" s="231">
        <f>L15+L13+L11</f>
        <v>312.69792521222655</v>
      </c>
      <c r="M17" s="231">
        <f>M15+M13+M11</f>
        <v>335.99850826968213</v>
      </c>
      <c r="N17" s="231">
        <f>N15+N13+N11</f>
        <v>340.4772619414041</v>
      </c>
      <c r="O17" s="195">
        <f>O15+O13+O11</f>
        <v>1312.689695423313</v>
      </c>
      <c r="P17" s="231">
        <f>P15+P13+P11</f>
        <v>322.1389844524423</v>
      </c>
      <c r="Q17" s="231">
        <f>Q15+Q13+Q11</f>
        <v>343.66135014405086</v>
      </c>
      <c r="R17" s="231">
        <f>R15+R13+R11</f>
        <v>367.75003954034486</v>
      </c>
      <c r="S17" s="231">
        <f>S15+S13+S11</f>
        <v>369.4274042528575</v>
      </c>
      <c r="T17" s="195">
        <f>T15+T13+T11</f>
        <v>1410.0953839070767</v>
      </c>
      <c r="U17" s="195">
        <f>U15+U13+U11</f>
        <v>1531.5579929947676</v>
      </c>
      <c r="V17" s="195">
        <f>V15+V13+V11</f>
        <v>1663.6352138863404</v>
      </c>
      <c r="W17" s="195">
        <f>W15+W13+W11</f>
        <v>1787.0382244508414</v>
      </c>
    </row>
    <row r="18">
      <c r="B18" s="253" t="inlineStr">
        <is>
          <t>% y/y change</t>
        </is>
      </c>
      <c r="C18" s="290" t="inlineStr">
        <is>
          <t>%</t>
        </is>
      </c>
      <c r="D18" s="271" t="n">
        <v>0</v>
      </c>
      <c r="E18" s="332">
        <f>E17/D17-1</f>
        <v>0.13441072000023224</v>
      </c>
      <c r="F18" s="333" t="n">
        <v>0</v>
      </c>
      <c r="G18" s="333" t="n">
        <v>0</v>
      </c>
      <c r="H18" s="333" t="n">
        <v>0</v>
      </c>
      <c r="I18" s="333" t="n">
        <v>0</v>
      </c>
      <c r="J18" s="332">
        <f>J17/E17-1</f>
        <v>0.09006399646916052</v>
      </c>
      <c r="K18" s="334">
        <f>K17/F17-1</f>
        <v>0.1735583358423629</v>
      </c>
      <c r="L18" s="333">
        <f>L17/G17-1</f>
        <v>0.07817204392787724</v>
      </c>
      <c r="M18" s="333">
        <f>M17/H17-1</f>
        <v>0.09663666656771452</v>
      </c>
      <c r="N18" s="333">
        <f>N17/I17-1</f>
        <v>0.08631868733757275</v>
      </c>
      <c r="O18" s="332">
        <f>O17/J17-1</f>
        <v>0.10727846700855559</v>
      </c>
      <c r="P18" s="333">
        <f>P17/K17-1</f>
        <v>-0.004256406321658912</v>
      </c>
      <c r="Q18" s="333">
        <f>Q17/L17-1</f>
        <v>0.09902024425269085</v>
      </c>
      <c r="R18" s="333">
        <f>R17/M17-1</f>
        <v>0.09449902451703163</v>
      </c>
      <c r="S18" s="333">
        <f>S17/N17-1</f>
        <v>0.08502812242550206</v>
      </c>
      <c r="T18" s="332">
        <f>T17/O17-1</f>
        <v>0.07420313332493444</v>
      </c>
      <c r="U18" s="332">
        <f>U17/T17-1</f>
        <v>0.08613786732011253</v>
      </c>
      <c r="V18" s="332">
        <f>V17/U17-1</f>
        <v>0.08623716600721898</v>
      </c>
      <c r="W18" s="332">
        <f>W17/V17-1</f>
        <v>0.0741767242809348</v>
      </c>
    </row>
    <row r="19" ht="5.1" customHeight="1" s="20">
      <c r="B19" s="252" t="n"/>
      <c r="C19" s="72" t="n"/>
    </row>
    <row r="20">
      <c r="B20" s="307" t="inlineStr">
        <is>
          <t>Salaries, wages and benefits</t>
        </is>
      </c>
      <c r="C20" s="118" t="inlineStr">
        <is>
          <t>$</t>
        </is>
      </c>
      <c r="D20" s="308" t="n">
        <v>271.7195364024768</v>
      </c>
      <c r="E20" s="308" t="n">
        <v>303.602</v>
      </c>
      <c r="F20" s="181" t="n">
        <v>74.884</v>
      </c>
      <c r="G20" s="181" t="n">
        <v>73.94</v>
      </c>
      <c r="H20" s="181" t="n">
        <v>78.386</v>
      </c>
      <c r="I20" s="181" t="n">
        <v>89.01300000000001</v>
      </c>
      <c r="J20" s="202">
        <f>SUM(F20:I20)</f>
        <v>316.223</v>
      </c>
      <c r="K20" s="269" t="n">
        <v>94.071</v>
      </c>
      <c r="L20" s="330">
        <f>L17*L21</f>
        <v>81.3014605551789</v>
      </c>
      <c r="M20" s="330">
        <f>M17*M21</f>
        <v>87.35961215011736</v>
      </c>
      <c r="N20" s="330">
        <f>N17*N21</f>
        <v>88.52408810476507</v>
      </c>
      <c r="O20" s="202">
        <f>SUM(K20:N20)</f>
        <v>351.2561608100614</v>
      </c>
      <c r="P20" s="330">
        <f>P17*P21</f>
        <v>83.756135957635</v>
      </c>
      <c r="Q20" s="330">
        <f>Q17*Q21</f>
        <v>89.35195103745322</v>
      </c>
      <c r="R20" s="330">
        <f>R17*R21</f>
        <v>95.61501028048967</v>
      </c>
      <c r="S20" s="330">
        <f>S17*S21</f>
        <v>96.05112510574295</v>
      </c>
      <c r="T20" s="202">
        <f>SUM(P20:S20)</f>
        <v>364.7742223813209</v>
      </c>
      <c r="U20" s="141">
        <f>U17*U21</f>
        <v>396.1950959506003</v>
      </c>
      <c r="V20" s="141">
        <f>V17*V21</f>
        <v>430.36183821133824</v>
      </c>
      <c r="W20" s="141">
        <f>W17*W21</f>
        <v>462.284669625377</v>
      </c>
    </row>
    <row r="21">
      <c r="B21" s="320" t="inlineStr">
        <is>
          <t>% revenue</t>
        </is>
      </c>
      <c r="C21" s="72" t="inlineStr">
        <is>
          <t>%</t>
        </is>
      </c>
      <c r="D21" s="335">
        <f>D20/D17</f>
        <v>0.2834248730446716</v>
      </c>
      <c r="E21" s="335">
        <f>E20/E17</f>
        <v>0.2791588510059215</v>
      </c>
      <c r="F21" s="336">
        <f>F20/F17</f>
        <v>0.2716426464880237</v>
      </c>
      <c r="G21" s="336">
        <f>G20/G17</f>
        <v>0.2549426603132133</v>
      </c>
      <c r="H21" s="336">
        <f>H20/H17</f>
        <v>0.2558373315055974</v>
      </c>
      <c r="I21" s="336">
        <f>I20/I17</f>
        <v>0.2840027694202404</v>
      </c>
      <c r="J21" s="335">
        <f>J20/J17</f>
        <v>0.2667400528042783</v>
      </c>
      <c r="K21" s="337">
        <f>K20/K17</f>
        <v>0.2907769631177437</v>
      </c>
      <c r="L21" s="338" t="n">
        <v>0.26</v>
      </c>
      <c r="M21" s="336">
        <f>L21</f>
        <v>0.26</v>
      </c>
      <c r="N21" s="339">
        <f>M21</f>
        <v>0.26</v>
      </c>
      <c r="O21" s="335">
        <f>O20/O17</f>
        <v>0.2675850675408777</v>
      </c>
      <c r="P21" s="336">
        <f>L21</f>
        <v>0.26</v>
      </c>
      <c r="Q21" s="336">
        <f>L21</f>
        <v>0.26</v>
      </c>
      <c r="R21" s="336">
        <f>M21</f>
        <v>0.26</v>
      </c>
      <c r="S21" s="336">
        <f>N21</f>
        <v>0.26</v>
      </c>
      <c r="T21" s="335">
        <f>T20/T17</f>
        <v>0.25868762251430716</v>
      </c>
      <c r="U21" s="335">
        <f>T21</f>
        <v>0.25868762251430716</v>
      </c>
      <c r="V21" s="335">
        <f>U21</f>
        <v>0.25868762251430716</v>
      </c>
      <c r="W21" s="335">
        <f>V21</f>
        <v>0.25868762251430716</v>
      </c>
    </row>
    <row r="22" ht="5.1" customHeight="1" s="20">
      <c r="B22" s="320" t="n"/>
      <c r="C22" s="72" t="n"/>
      <c r="D22" s="335" t="n"/>
      <c r="E22" s="335" t="n"/>
      <c r="F22" s="336" t="n"/>
      <c r="G22" s="336" t="n"/>
      <c r="H22" s="336" t="n"/>
      <c r="I22" s="336" t="n"/>
      <c r="J22" s="335" t="n"/>
      <c r="K22" s="337" t="n"/>
      <c r="L22" s="336" t="n"/>
      <c r="M22" s="336" t="n"/>
      <c r="N22" s="336" t="n"/>
      <c r="O22" s="335" t="n"/>
      <c r="P22" s="336" t="n"/>
      <c r="Q22" s="336" t="n"/>
      <c r="R22" s="336" t="n"/>
      <c r="S22" s="336" t="n"/>
      <c r="T22" s="335" t="n"/>
      <c r="U22" s="335" t="n"/>
      <c r="V22" s="335" t="n"/>
      <c r="W22" s="335" t="n"/>
    </row>
    <row r="23">
      <c r="B23" s="307" t="inlineStr">
        <is>
          <t>General and administration expenses</t>
        </is>
      </c>
      <c r="C23" s="118" t="inlineStr">
        <is>
          <t>$</t>
        </is>
      </c>
      <c r="D23" s="308" t="n">
        <v>119.0571244300932</v>
      </c>
      <c r="E23" s="308" t="n">
        <v>136.706</v>
      </c>
      <c r="F23" s="181" t="n">
        <v>34.167</v>
      </c>
      <c r="G23" s="181" t="n">
        <v>37.921</v>
      </c>
      <c r="H23" s="181" t="n">
        <v>35.594</v>
      </c>
      <c r="I23" s="181" t="n">
        <v>45.16200000000001</v>
      </c>
      <c r="J23" s="202">
        <f>SUM(F23:I23)</f>
        <v>152.844</v>
      </c>
      <c r="K23" s="269" t="n">
        <v>37.039</v>
      </c>
      <c r="L23" s="268">
        <f>L17*L24</f>
        <v>37.523751025467185</v>
      </c>
      <c r="M23" s="268">
        <f>M17*M24</f>
        <v>40.319820992361855</v>
      </c>
      <c r="N23" s="268">
        <f>N17*N24</f>
        <v>40.85727143296849</v>
      </c>
      <c r="O23" s="202">
        <f>SUM(K23:N23)</f>
        <v>155.73984345079754</v>
      </c>
      <c r="P23" s="268">
        <f>P17*P24</f>
        <v>38.656678134293074</v>
      </c>
      <c r="Q23" s="268">
        <f>Q17*Q24</f>
        <v>41.239362017286105</v>
      </c>
      <c r="R23" s="268">
        <f>R17*R24</f>
        <v>44.13000474484138</v>
      </c>
      <c r="S23" s="268">
        <f>S17*S24</f>
        <v>44.3312885103429</v>
      </c>
      <c r="T23" s="202">
        <f>SUM(P23:S23)</f>
        <v>168.35733340676347</v>
      </c>
      <c r="U23" s="202">
        <f>T23</f>
        <v>168.35733340676347</v>
      </c>
      <c r="V23" s="202">
        <f>U23</f>
        <v>168.35733340676347</v>
      </c>
      <c r="W23" s="202">
        <f>V23</f>
        <v>168.35733340676347</v>
      </c>
    </row>
    <row r="24">
      <c r="B24" s="320" t="inlineStr">
        <is>
          <t>% revenue</t>
        </is>
      </c>
      <c r="C24" s="72" t="inlineStr">
        <is>
          <t>%</t>
        </is>
      </c>
      <c r="D24" s="335">
        <f>D23/D17</f>
        <v>0.1241859559434875</v>
      </c>
      <c r="E24" s="335">
        <f>E23/E17</f>
        <v>0.12569973150906616</v>
      </c>
      <c r="F24" s="336">
        <f>F23/F17</f>
        <v>0.1239412197873552</v>
      </c>
      <c r="G24" s="336">
        <f>G23/G17</f>
        <v>0.13075034652065676</v>
      </c>
      <c r="H24" s="336">
        <f>H23/H17</f>
        <v>0.11617219883155454</v>
      </c>
      <c r="I24" s="336">
        <f>I23/I17</f>
        <v>0.1440928074838158</v>
      </c>
      <c r="J24" s="335">
        <f>J23/J17</f>
        <v>0.12892679100134116</v>
      </c>
      <c r="K24" s="337">
        <f>K23/K17</f>
        <v>0.11448892790464767</v>
      </c>
      <c r="L24" s="338" t="n">
        <v>0.12</v>
      </c>
      <c r="M24" s="336">
        <f>L24</f>
        <v>0.12</v>
      </c>
      <c r="N24" s="339">
        <f>M24</f>
        <v>0.12</v>
      </c>
      <c r="O24" s="335">
        <f>O23/O17</f>
        <v>0.1186417810650787</v>
      </c>
      <c r="P24" s="336">
        <f>L24</f>
        <v>0.12</v>
      </c>
      <c r="Q24" s="336">
        <f>L24</f>
        <v>0.12</v>
      </c>
      <c r="R24" s="336">
        <f>M24</f>
        <v>0.12</v>
      </c>
      <c r="S24" s="336">
        <f>N24</f>
        <v>0.12</v>
      </c>
      <c r="T24" s="335">
        <f>T23/T17</f>
        <v>0.1193942873142956</v>
      </c>
      <c r="U24" s="335">
        <f>T24</f>
        <v>0.1193942873142956</v>
      </c>
      <c r="V24" s="335">
        <f>U24</f>
        <v>0.1193942873142956</v>
      </c>
      <c r="W24" s="335">
        <f>V24</f>
        <v>0.1193942873142956</v>
      </c>
    </row>
    <row r="25" ht="5.1" customHeight="1" s="20">
      <c r="B25" s="320" t="n"/>
      <c r="C25" s="72" t="n"/>
      <c r="D25" s="335" t="n"/>
      <c r="E25" s="335" t="n"/>
      <c r="F25" s="336" t="n"/>
      <c r="G25" s="336" t="n"/>
      <c r="H25" s="336" t="n"/>
      <c r="I25" s="336" t="n"/>
      <c r="J25" s="335" t="n"/>
      <c r="K25" s="337" t="n"/>
      <c r="L25" s="336" t="n"/>
      <c r="M25" s="336" t="n"/>
      <c r="N25" s="336" t="n"/>
      <c r="O25" s="335" t="n"/>
      <c r="P25" s="336" t="n"/>
      <c r="Q25" s="336" t="n"/>
      <c r="R25" s="336" t="n"/>
      <c r="S25" s="336" t="n"/>
      <c r="T25" s="335" t="n"/>
      <c r="U25" s="335" t="n"/>
      <c r="V25" s="335" t="n"/>
      <c r="W25" s="335" t="n"/>
    </row>
    <row r="26">
      <c r="B26" s="307" t="inlineStr">
        <is>
          <t>Depreciation and amortization</t>
        </is>
      </c>
      <c r="C26" s="118" t="inlineStr">
        <is>
          <t>$</t>
        </is>
      </c>
      <c r="D26" s="308" t="n">
        <v>51.33688446082193</v>
      </c>
      <c r="E26" s="308" t="n">
        <v>59.421</v>
      </c>
      <c r="F26" s="181" t="n">
        <v>15.773</v>
      </c>
      <c r="G26" s="181" t="n">
        <v>16.315</v>
      </c>
      <c r="H26" s="181" t="n">
        <v>16.75</v>
      </c>
      <c r="I26" s="181" t="n">
        <v>71.267</v>
      </c>
      <c r="J26" s="202">
        <f>SUM(F26:I26)</f>
        <v>120.10499999999999</v>
      </c>
      <c r="K26" s="269" t="n">
        <v>17.027</v>
      </c>
      <c r="L26" s="330">
        <f>L17*L27</f>
        <v>17.19838588667246</v>
      </c>
      <c r="M26" s="330">
        <f>M17*M27</f>
        <v>18.47991795483252</v>
      </c>
      <c r="N26" s="330">
        <f>N17*N27</f>
        <v>18.726249406777224</v>
      </c>
      <c r="O26" s="202">
        <f>SUM(K26:N26)</f>
        <v>71.43155324828221</v>
      </c>
      <c r="P26" s="330">
        <f>P17*P27</f>
        <v>17.717644144884325</v>
      </c>
      <c r="Q26" s="330">
        <f>Q17*Q27</f>
        <v>18.901374257922797</v>
      </c>
      <c r="R26" s="330">
        <f>R17*R27</f>
        <v>20.22625217471897</v>
      </c>
      <c r="S26" s="330">
        <f>S17*S27</f>
        <v>20.318507233907162</v>
      </c>
      <c r="T26" s="202">
        <f>SUM(P26:S26)</f>
        <v>77.16377781143325</v>
      </c>
      <c r="U26" s="202">
        <f>U17*U27</f>
        <v>83.81050106647312</v>
      </c>
      <c r="V26" s="202">
        <f>V17*V27</f>
        <v>91.03808116009077</v>
      </c>
      <c r="W26" s="202">
        <f>W17*W27</f>
        <v>97.79098780536819</v>
      </c>
    </row>
    <row r="27">
      <c r="B27" s="320" t="inlineStr">
        <is>
          <t>% revenue</t>
        </is>
      </c>
      <c r="C27" s="72" t="inlineStr">
        <is>
          <t>%</t>
        </is>
      </c>
      <c r="D27" s="335">
        <f>D26/D17</f>
        <v>0.0535484130197596</v>
      </c>
      <c r="E27" s="335">
        <f>E26/E17</f>
        <v>0.05463698554562507</v>
      </c>
      <c r="F27" s="336">
        <f>F26/F17</f>
        <v>0.057216754754762005</v>
      </c>
      <c r="G27" s="336">
        <f>G26/G17</f>
        <v>0.05625357726548654</v>
      </c>
      <c r="H27" s="336">
        <f>H26/H17</f>
        <v>0.05466888606025</v>
      </c>
      <c r="I27" s="336">
        <f>I26/I17</f>
        <v>0.22738280215555334</v>
      </c>
      <c r="J27" s="335">
        <f>J26/J17</f>
        <v>0.1013108282511324</v>
      </c>
      <c r="K27" s="337">
        <f>K26/K17</f>
        <v>0.05263109088885866</v>
      </c>
      <c r="L27" s="338" t="n">
        <v>0.055</v>
      </c>
      <c r="M27" s="336">
        <f>L27</f>
        <v>0.055</v>
      </c>
      <c r="N27" s="336">
        <f>M27</f>
        <v>0.055</v>
      </c>
      <c r="O27" s="335">
        <f>O26/O17</f>
        <v>0.0544161758085921</v>
      </c>
      <c r="P27" s="336">
        <f>L27</f>
        <v>0.055</v>
      </c>
      <c r="Q27" s="336">
        <f>P27</f>
        <v>0.055</v>
      </c>
      <c r="R27" s="336">
        <f>Q27</f>
        <v>0.055</v>
      </c>
      <c r="S27" s="336">
        <f>R27</f>
        <v>0.055</v>
      </c>
      <c r="T27" s="335">
        <f>T26/T17</f>
        <v>0.05472238168571881</v>
      </c>
      <c r="U27" s="335">
        <f>T27</f>
        <v>0.05472238168571881</v>
      </c>
      <c r="V27" s="335">
        <f>U27</f>
        <v>0.05472238168571881</v>
      </c>
      <c r="W27" s="335">
        <f>V27</f>
        <v>0.05472238168571881</v>
      </c>
    </row>
    <row r="28" ht="5.1" customHeight="1" s="20">
      <c r="B28" s="320" t="n"/>
      <c r="C28" s="72" t="n"/>
      <c r="D28" s="335" t="n"/>
      <c r="E28" s="335" t="n"/>
      <c r="F28" s="336" t="n"/>
      <c r="G28" s="336" t="n"/>
      <c r="H28" s="336" t="n"/>
      <c r="I28" s="336" t="n"/>
      <c r="J28" s="335" t="n"/>
      <c r="K28" s="337" t="n"/>
      <c r="L28" s="336" t="n"/>
      <c r="M28" s="336" t="n"/>
      <c r="N28" s="336" t="n"/>
      <c r="O28" s="335" t="n"/>
      <c r="P28" s="336" t="n"/>
      <c r="Q28" s="336" t="n"/>
      <c r="R28" s="336" t="n"/>
      <c r="S28" s="336" t="n"/>
      <c r="T28" s="335" t="n"/>
      <c r="U28" s="335" t="n"/>
      <c r="V28" s="335" t="n"/>
      <c r="W28" s="335" t="n"/>
    </row>
    <row r="29">
      <c r="B29" s="307" t="inlineStr">
        <is>
          <t>Amortization of convertible debenture synthetic discount</t>
        </is>
      </c>
      <c r="C29" s="118" t="inlineStr">
        <is>
          <t>$</t>
        </is>
      </c>
      <c r="D29" s="308" t="n">
        <v>3.037247132602741</v>
      </c>
      <c r="E29" s="308" t="n">
        <v>1.517</v>
      </c>
      <c r="F29" s="181" t="n">
        <v>0</v>
      </c>
      <c r="G29" s="181" t="n">
        <v>0</v>
      </c>
      <c r="H29" s="181" t="n">
        <v>0</v>
      </c>
      <c r="I29" s="181" t="n">
        <v>0</v>
      </c>
      <c r="J29" s="202">
        <f>SUM(F29:I29)</f>
        <v>0.0</v>
      </c>
      <c r="K29" s="269" t="n">
        <v>0</v>
      </c>
      <c r="L29" s="330">
        <f>K29</f>
        <v>0.0</v>
      </c>
      <c r="M29" s="330">
        <f>L29</f>
        <v>0.0</v>
      </c>
      <c r="N29" s="330">
        <f>M29</f>
        <v>0.0</v>
      </c>
      <c r="O29" s="202">
        <f>SUM(K29:N29)</f>
        <v>0.0</v>
      </c>
      <c r="P29" s="330">
        <f>K29</f>
        <v>0.0</v>
      </c>
      <c r="Q29" s="330">
        <f>L29</f>
        <v>0.0</v>
      </c>
      <c r="R29" s="330">
        <f>M29</f>
        <v>0.0</v>
      </c>
      <c r="S29" s="330">
        <f>N29</f>
        <v>0.0</v>
      </c>
      <c r="T29" s="202">
        <f>SUM(P29:S29)</f>
        <v>0.0</v>
      </c>
      <c r="U29" s="202">
        <f>T29</f>
        <v>0.0</v>
      </c>
      <c r="V29" s="202">
        <f>U29</f>
        <v>0.0</v>
      </c>
      <c r="W29" s="202">
        <f>V29</f>
        <v>0.0</v>
      </c>
    </row>
    <row r="30">
      <c r="B30" s="320" t="inlineStr">
        <is>
          <t>% revenue</t>
        </is>
      </c>
      <c r="C30" s="72" t="inlineStr">
        <is>
          <t>%</t>
        </is>
      </c>
      <c r="D30" s="335">
        <f>D29/D17</f>
        <v>0.0031680879275759644</v>
      </c>
      <c r="E30" s="335">
        <f>E29/E17</f>
        <v>0.0013948655706351833</v>
      </c>
      <c r="F30" s="336">
        <f>F29/F17</f>
        <v>0.0</v>
      </c>
      <c r="G30" s="336">
        <f>G29/G17</f>
        <v>0.0</v>
      </c>
      <c r="H30" s="336">
        <f>H29/H17</f>
        <v>0.0</v>
      </c>
      <c r="I30" s="336">
        <f>I29/I17</f>
        <v>0.0</v>
      </c>
      <c r="J30" s="335">
        <f>J29/J17</f>
        <v>0.0</v>
      </c>
      <c r="K30" s="337">
        <f>K29/K17</f>
        <v>0.0</v>
      </c>
      <c r="L30" s="336">
        <f>L29/L17</f>
        <v>0.0</v>
      </c>
      <c r="M30" s="336">
        <f>M29/M17</f>
        <v>0.0</v>
      </c>
      <c r="N30" s="336">
        <f>N29/N17</f>
        <v>0.0</v>
      </c>
      <c r="O30" s="335">
        <f>O29/O17</f>
        <v>0.0</v>
      </c>
      <c r="P30" s="336">
        <f>P29/P17</f>
        <v>0.0</v>
      </c>
      <c r="Q30" s="336">
        <f>Q29/Q17</f>
        <v>0.0</v>
      </c>
      <c r="R30" s="336">
        <f>R29/R17</f>
        <v>0.0</v>
      </c>
      <c r="S30" s="336">
        <f>S29/S17</f>
        <v>0.0</v>
      </c>
      <c r="T30" s="335">
        <f>T29/T17</f>
        <v>0.0</v>
      </c>
      <c r="U30" s="335">
        <f>U29/U17</f>
        <v>0.0</v>
      </c>
      <c r="V30" s="335">
        <f>V29/V17</f>
        <v>0.0</v>
      </c>
      <c r="W30" s="335">
        <f>W29/W17</f>
        <v>0.0</v>
      </c>
    </row>
    <row r="31" ht="5.1" customHeight="1" s="20">
      <c r="B31" s="320" t="n"/>
      <c r="C31" s="72" t="n"/>
      <c r="D31" s="335" t="n"/>
      <c r="E31" s="335" t="n"/>
      <c r="F31" s="336" t="n"/>
      <c r="G31" s="336" t="n"/>
      <c r="H31" s="336" t="n"/>
      <c r="I31" s="336" t="n"/>
      <c r="J31" s="335" t="n"/>
      <c r="K31" s="337" t="n"/>
      <c r="L31" s="336" t="n"/>
      <c r="M31" s="336" t="n"/>
      <c r="N31" s="336" t="n"/>
      <c r="O31" s="335" t="n"/>
      <c r="P31" s="336" t="n"/>
      <c r="Q31" s="336" t="n"/>
      <c r="R31" s="336" t="n"/>
      <c r="S31" s="336" t="n"/>
      <c r="T31" s="335" t="n"/>
      <c r="U31" s="335" t="n"/>
      <c r="V31" s="335" t="n"/>
      <c r="W31" s="335" t="n"/>
    </row>
    <row r="32">
      <c r="B32" s="307" t="inlineStr">
        <is>
          <t>Share-based compensation</t>
        </is>
      </c>
      <c r="C32" s="118" t="inlineStr">
        <is>
          <t>$</t>
        </is>
      </c>
      <c r="D32" s="308" t="n">
        <v>36.47067093470686</v>
      </c>
      <c r="E32" s="308" t="n">
        <v>43.435</v>
      </c>
      <c r="F32" s="181" t="n">
        <v>10.183</v>
      </c>
      <c r="G32" s="181" t="n">
        <v>10.333</v>
      </c>
      <c r="H32" s="181" t="n">
        <v>8.252000000000001</v>
      </c>
      <c r="I32" s="181" t="n">
        <v>10.75</v>
      </c>
      <c r="J32" s="202">
        <f>SUM(F32:I32)</f>
        <v>39.518</v>
      </c>
      <c r="K32" s="269" t="n">
        <v>9.335000000000001</v>
      </c>
      <c r="L32" s="181">
        <f>L17*L33</f>
        <v>10.95762459966793</v>
      </c>
      <c r="M32" s="330">
        <f>M17*M33</f>
        <v>11.774128392981229</v>
      </c>
      <c r="N32" s="330">
        <f>N17*N33</f>
        <v>11.931073794444336</v>
      </c>
      <c r="O32" s="202">
        <f>SUM(K32:N32)</f>
        <v>43.997826787093494</v>
      </c>
      <c r="P32" s="330">
        <f>P17*P33</f>
        <v>11.288460126981704</v>
      </c>
      <c r="Q32" s="330">
        <f>Q17*Q33</f>
        <v>12.042651263956342</v>
      </c>
      <c r="R32" s="330">
        <f>R17*R33</f>
        <v>12.88677204065624</v>
      </c>
      <c r="S32" s="330">
        <f>S17*S33</f>
        <v>12.945550597706047</v>
      </c>
      <c r="T32" s="202">
        <f>SUM(P32:S32)</f>
        <v>49.16343402930033</v>
      </c>
      <c r="U32" s="202">
        <f>U17*U33</f>
        <v>53.39826738671731</v>
      </c>
      <c r="V32" s="202">
        <f>V17*V33</f>
        <v>58.00318263584351</v>
      </c>
      <c r="W32" s="202">
        <f>W17*W33</f>
        <v>62.30566872163918</v>
      </c>
    </row>
    <row r="33">
      <c r="B33" s="253" t="inlineStr">
        <is>
          <t>% revenue</t>
        </is>
      </c>
      <c r="C33" s="290" t="inlineStr">
        <is>
          <t>%</t>
        </is>
      </c>
      <c r="D33" s="332">
        <f>D32/D17</f>
        <v>0.03804178167083412</v>
      </c>
      <c r="E33" s="332">
        <f>E32/E17</f>
        <v>0.03993802640773843</v>
      </c>
      <c r="F33" s="333">
        <f>F32/F17</f>
        <v>0.036938959847064065</v>
      </c>
      <c r="G33" s="333">
        <f>G32/G17</f>
        <v>0.035627840262597146</v>
      </c>
      <c r="H33" s="333">
        <f>H32/H17</f>
        <v>0.026932993896667645</v>
      </c>
      <c r="I33" s="333">
        <f>I32/I17</f>
        <v>0.03429869537334529</v>
      </c>
      <c r="J33" s="332">
        <f>J32/J17</f>
        <v>0.03333417685215645</v>
      </c>
      <c r="K33" s="334">
        <f>K32/K17</f>
        <v>0.028854832527602958</v>
      </c>
      <c r="L33" s="333">
        <f>AVERAGE(J33:K33, D33:E33)</f>
        <v>0.03504220436458299</v>
      </c>
      <c r="M33" s="333">
        <f>L33</f>
        <v>0.03504220436458299</v>
      </c>
      <c r="N33" s="333">
        <f>M33</f>
        <v>0.03504220436458299</v>
      </c>
      <c r="O33" s="332">
        <f>O32/O17</f>
        <v>0.03351730949095718</v>
      </c>
      <c r="P33" s="333">
        <f>L33</f>
        <v>0.03504220436458299</v>
      </c>
      <c r="Q33" s="333">
        <f>P33</f>
        <v>0.03504220436458299</v>
      </c>
      <c r="R33" s="333">
        <f>Q33</f>
        <v>0.03504220436458299</v>
      </c>
      <c r="S33" s="333">
        <f>R33</f>
        <v>0.03504220436458299</v>
      </c>
      <c r="T33" s="332">
        <f>T32/T17</f>
        <v>0.034865325133594034</v>
      </c>
      <c r="U33" s="340">
        <f>T33</f>
        <v>0.034865325133594034</v>
      </c>
      <c r="V33" s="332">
        <f>U33</f>
        <v>0.034865325133594034</v>
      </c>
      <c r="W33" s="332">
        <f>V33</f>
        <v>0.034865325133594034</v>
      </c>
    </row>
    <row r="34" ht="5.1" customHeight="1" s="20">
      <c r="B34" s="307" t="n"/>
      <c r="C34" s="72" t="n"/>
    </row>
    <row r="35">
      <c r="A35" s="305" t="inlineStr">
        <is>
          <t>x</t>
        </is>
      </c>
      <c r="B35" s="264" t="inlineStr">
        <is>
          <t>Operating Income</t>
        </is>
      </c>
      <c r="C35" s="293" t="inlineStr">
        <is>
          <t>$</t>
        </is>
      </c>
      <c r="D35" s="195">
        <f>D17-SUM(D20,D23,D26,D29,D32)</f>
        <v>477.0789269175015</v>
      </c>
      <c r="E35" s="195">
        <f>E17-SUM(E20,E23,E26,E29,E32)</f>
        <v>542.8789999999999</v>
      </c>
      <c r="F35" s="231">
        <f>F17-SUM(F20,F23,F26,F29,F32)</f>
        <v>140.66400000000004</v>
      </c>
      <c r="G35" s="231">
        <f>G17-SUM(G20,G23,G26,G29,G32)</f>
        <v>151.51700000000002</v>
      </c>
      <c r="H35" s="231">
        <f>H17-SUM(H20,H23,H26,H29,H32)</f>
        <v>167.40800000000004</v>
      </c>
      <c r="I35" s="231">
        <f>I17-SUM(I20,I23,I26,I29,I32)</f>
        <v>97.231</v>
      </c>
      <c r="J35" s="195">
        <f>J17-SUM(J20,J23,J26,J29,J32)</f>
        <v>556.8200000000002</v>
      </c>
      <c r="K35" s="197">
        <f>K17-SUM(K20,K23,K26,K29,K32)</f>
        <v>166.04400000000007</v>
      </c>
      <c r="L35" s="231">
        <f>L17-SUM(L20,L23,L26,L29,L32)</f>
        <v>165.71670314524007</v>
      </c>
      <c r="M35" s="231">
        <f>M17-SUM(M20,M23,M26,M29,M32)</f>
        <v>178.06502877938917</v>
      </c>
      <c r="N35" s="231">
        <f>N17-SUM(N20,N23,N26,N29,N32)</f>
        <v>180.438579202449</v>
      </c>
      <c r="O35" s="195">
        <f>O17-SUM(O20,O23,O26,O29,O32)</f>
        <v>690.2643111270784</v>
      </c>
      <c r="P35" s="231">
        <f>P17-SUM(P20,P23,P26,P29,P32)</f>
        <v>170.7200660886482</v>
      </c>
      <c r="Q35" s="231">
        <f>Q17-SUM(Q20,Q23,Q26,Q29,Q32)</f>
        <v>182.1260115674324</v>
      </c>
      <c r="R35" s="231">
        <f>R17-SUM(R20,R23,R26,R29,R32)</f>
        <v>194.8920002996386</v>
      </c>
      <c r="S35" s="231">
        <f>S17-SUM(S20,S23,S26,S29,S32)</f>
        <v>195.78093280515847</v>
      </c>
      <c r="T35" s="195">
        <f>T17-SUM(T20,T23,T26,T29,T32)</f>
        <v>750.6366162782588</v>
      </c>
      <c r="U35" s="195">
        <f>U17-SUM(U20,U23,U26,U29,U32)</f>
        <v>829.7967951842135</v>
      </c>
      <c r="V35" s="195">
        <f>V17-SUM(V20,V23,V26,V29,V32)</f>
        <v>915.8747784723045</v>
      </c>
      <c r="W35" s="195">
        <f>W17-SUM(W20,W23,W26,W29,W32)</f>
        <v>996.2995648916935</v>
      </c>
    </row>
    <row r="36">
      <c r="B36" s="320" t="inlineStr">
        <is>
          <t>% y/y change</t>
        </is>
      </c>
      <c r="C36" s="118" t="inlineStr">
        <is>
          <t>%</t>
        </is>
      </c>
      <c r="D36" s="335" t="n">
        <v>0</v>
      </c>
      <c r="E36" s="335">
        <f>E35/D35-1</f>
        <v>0.13792282444258297</v>
      </c>
      <c r="F36" s="336" t="n">
        <v>0</v>
      </c>
      <c r="G36" s="336" t="n">
        <v>0</v>
      </c>
      <c r="H36" s="336" t="n">
        <v>0</v>
      </c>
      <c r="I36" s="336" t="n">
        <v>0</v>
      </c>
      <c r="J36" s="335">
        <f>J35/E35-1</f>
        <v>0.025679755525633174</v>
      </c>
      <c r="K36" s="337">
        <f>K35/F35-1</f>
        <v>0.1804299607575499</v>
      </c>
      <c r="L36" s="336">
        <f>L35/G35-1</f>
        <v>0.09371689741243583</v>
      </c>
      <c r="M36" s="336">
        <f>M35/H35-1</f>
        <v>0.0636590173670859</v>
      </c>
      <c r="N36" s="336">
        <f>N35/I35-1</f>
        <v>0.8557721220850245</v>
      </c>
      <c r="O36" s="335">
        <f>O35/J35-1</f>
        <v>0.23965430682640387</v>
      </c>
      <c r="P36" s="336">
        <f>P35/K35-1</f>
        <v>0.028161608300499408</v>
      </c>
      <c r="Q36" s="336">
        <f>Q35/L35-1</f>
        <v>0.09902024425269085</v>
      </c>
      <c r="R36" s="336">
        <f>R35/M35-1</f>
        <v>0.09449902451703163</v>
      </c>
      <c r="S36" s="336">
        <f>S35/N35-1</f>
        <v>0.08502812242550206</v>
      </c>
      <c r="T36" s="335">
        <f>T35/O35-1</f>
        <v>0.08746259103647303</v>
      </c>
      <c r="U36" s="335">
        <f>U35/T35-1</f>
        <v>0.10545739068584181</v>
      </c>
      <c r="V36" s="335">
        <f>V35/U35-1</f>
        <v>0.10373381023842332</v>
      </c>
      <c r="W36" s="335">
        <f>W35/V35-1</f>
        <v>0.0878119894878413</v>
      </c>
    </row>
    <row r="37">
      <c r="B37" s="253" t="inlineStr">
        <is>
          <t>% EBIT margin</t>
        </is>
      </c>
      <c r="C37" s="292" t="inlineStr">
        <is>
          <t>%</t>
        </is>
      </c>
      <c r="D37" s="332">
        <f>D35/D17</f>
        <v>0.49763088839367126</v>
      </c>
      <c r="E37" s="332">
        <f>E35/E17</f>
        <v>0.4991715399610136</v>
      </c>
      <c r="F37" s="333">
        <f>F35/F17</f>
        <v>0.510260419122795</v>
      </c>
      <c r="G37" s="333">
        <f>G35/G17</f>
        <v>0.5224255756380463</v>
      </c>
      <c r="H37" s="333">
        <f>H35/H17</f>
        <v>0.5463885897059304</v>
      </c>
      <c r="I37" s="333">
        <f>I35/I17</f>
        <v>0.31022292556704517</v>
      </c>
      <c r="J37" s="332">
        <f>J35/J17</f>
        <v>0.46968815109109163</v>
      </c>
      <c r="K37" s="334">
        <f>K35/K17</f>
        <v>0.513248185561147</v>
      </c>
      <c r="L37" s="333">
        <f>L35/L17</f>
        <v>0.529957795635417</v>
      </c>
      <c r="M37" s="333">
        <f>M35/M17</f>
        <v>0.529957795635417</v>
      </c>
      <c r="N37" s="333">
        <f>N35/N17</f>
        <v>0.5299577956354171</v>
      </c>
      <c r="O37" s="332">
        <f>O35/O17</f>
        <v>0.5258396660944944</v>
      </c>
      <c r="P37" s="333">
        <f>P35/P17</f>
        <v>0.529957795635417</v>
      </c>
      <c r="Q37" s="333">
        <f>Q35/Q17</f>
        <v>0.5299577956354171</v>
      </c>
      <c r="R37" s="333">
        <f>R35/R17</f>
        <v>0.529957795635417</v>
      </c>
      <c r="S37" s="333">
        <f>S35/S17</f>
        <v>0.5299577956354171</v>
      </c>
      <c r="T37" s="332">
        <f>T35/T17</f>
        <v>0.5323303833520844</v>
      </c>
      <c r="U37" s="332">
        <f>U35/U17</f>
        <v>0.5417991345934287</v>
      </c>
      <c r="V37" s="332">
        <f>V35/V17</f>
        <v>0.5505262035977059</v>
      </c>
      <c r="W37" s="332">
        <f>W35/W17</f>
        <v>0.5575144119806712</v>
      </c>
    </row>
    <row r="38" ht="5.1" customHeight="1" s="20">
      <c r="C38" s="72" t="n"/>
    </row>
    <row r="39">
      <c r="B39" s="307" t="inlineStr">
        <is>
          <t>Amortization of intangibles assets from acquisitions</t>
        </is>
      </c>
      <c r="C39" s="118" t="inlineStr">
        <is>
          <t>$</t>
        </is>
      </c>
      <c r="D39" s="308" t="n">
        <v>27.90341164481645</v>
      </c>
      <c r="E39" s="308" t="n">
        <v>28.734</v>
      </c>
      <c r="F39" s="181" t="n">
        <v>7.799</v>
      </c>
      <c r="G39" s="181" t="n">
        <v>7.829</v>
      </c>
      <c r="H39" s="181" t="n">
        <v>7.831</v>
      </c>
      <c r="I39" s="181" t="n">
        <v>7.823</v>
      </c>
      <c r="J39" s="202">
        <f>SUM(F39:I39)</f>
        <v>31.282</v>
      </c>
      <c r="K39" s="269" t="n">
        <v>8.978999999999999</v>
      </c>
      <c r="L39" s="330">
        <f>L17*L40</f>
        <v>8.678750573327381</v>
      </c>
      <c r="M39" s="330">
        <f>M17*M40</f>
        <v>9.32544481804138</v>
      </c>
      <c r="N39" s="330">
        <f>N17*N40</f>
        <v>9.449750043187558</v>
      </c>
      <c r="O39" s="141">
        <f>SUM(K39:N39)</f>
        <v>36.432945434556316</v>
      </c>
      <c r="P39" s="330">
        <f>P17*P40</f>
        <v>8.940781727637825</v>
      </c>
      <c r="Q39" s="330">
        <f>Q17*Q40</f>
        <v>9.538122574906438</v>
      </c>
      <c r="R39" s="330">
        <f>R17*R40</f>
        <v>10.206690256533696</v>
      </c>
      <c r="S39" s="330">
        <f>S17*S40</f>
        <v>10.253244546750103</v>
      </c>
      <c r="T39" s="141">
        <f>SUM(P39:S39)</f>
        <v>38.938839105828066</v>
      </c>
      <c r="U39" s="141">
        <f>U17*U40</f>
        <v>42.29294766232509</v>
      </c>
      <c r="V39" s="141">
        <f>V17*V40</f>
        <v>45.94017161081564</v>
      </c>
      <c r="W39" s="141">
        <f>W17*W40</f>
        <v>49.347863053809945</v>
      </c>
    </row>
    <row r="40">
      <c r="B40" s="320" t="inlineStr">
        <is>
          <t>% revenue</t>
        </is>
      </c>
      <c r="C40" s="72" t="inlineStr">
        <is>
          <t>%</t>
        </is>
      </c>
      <c r="D40" s="335">
        <f>D39/D17</f>
        <v>0.029105455601952164</v>
      </c>
      <c r="E40" s="335">
        <f>E39/E17</f>
        <v>0.026420611276619224</v>
      </c>
      <c r="F40" s="336">
        <f>F39/F17</f>
        <v>0.028290970033119187</v>
      </c>
      <c r="G40" s="336">
        <f>G39/G17</f>
        <v>0.026994131560618702</v>
      </c>
      <c r="H40" s="336">
        <f>H39/H17</f>
        <v>0.02555892816345181</v>
      </c>
      <c r="I40" s="336">
        <f>I39/I17</f>
        <v>0.02495987850285397</v>
      </c>
      <c r="J40" s="335">
        <f>J39/J17</f>
        <v>0.026386955824919227</v>
      </c>
      <c r="K40" s="337">
        <f>K39/K17</f>
        <v>0.027754423274273906</v>
      </c>
      <c r="L40" s="339">
        <f>K40</f>
        <v>0.027754423274273906</v>
      </c>
      <c r="M40" s="338">
        <f>L40</f>
        <v>0.027754423274273906</v>
      </c>
      <c r="N40" s="338">
        <f>M40</f>
        <v>0.027754423274273906</v>
      </c>
      <c r="O40" s="335">
        <f>O39/O17</f>
        <v>0.027754423274273902</v>
      </c>
      <c r="P40" s="336">
        <f>K40</f>
        <v>0.027754423274273906</v>
      </c>
      <c r="Q40" s="336">
        <f>P40</f>
        <v>0.027754423274273906</v>
      </c>
      <c r="R40" s="336">
        <f>Q40</f>
        <v>0.027754423274273906</v>
      </c>
      <c r="S40" s="336">
        <f>R40</f>
        <v>0.027754423274273906</v>
      </c>
      <c r="T40" s="335">
        <f>T39/T17</f>
        <v>0.027614329888760263</v>
      </c>
      <c r="U40" s="335">
        <f>T40</f>
        <v>0.027614329888760263</v>
      </c>
      <c r="V40" s="335">
        <f>U40</f>
        <v>0.027614329888760263</v>
      </c>
      <c r="W40" s="335">
        <f>V40</f>
        <v>0.027614329888760263</v>
      </c>
    </row>
    <row r="41" ht="5.1" customHeight="1" s="20">
      <c r="B41" s="320" t="n"/>
      <c r="C41" s="72" t="n"/>
      <c r="J41" s="202" t="n"/>
    </row>
    <row r="42">
      <c r="B42" s="307" t="inlineStr">
        <is>
          <t>Gain on investments</t>
        </is>
      </c>
      <c r="C42" s="118" t="inlineStr">
        <is>
          <t>$</t>
        </is>
      </c>
      <c r="D42" s="308" t="n">
        <v>0</v>
      </c>
      <c r="E42" s="308" t="n">
        <v>0</v>
      </c>
      <c r="F42" s="181" t="n">
        <v>-3.606</v>
      </c>
      <c r="G42" s="181" t="n">
        <v>0</v>
      </c>
      <c r="H42" s="181" t="n">
        <v>0</v>
      </c>
      <c r="I42" s="181" t="n">
        <v>3.606</v>
      </c>
      <c r="J42" s="202">
        <f>SUM(F42:I42)</f>
        <v>0.0</v>
      </c>
      <c r="K42" s="269" t="n">
        <v>0.083</v>
      </c>
      <c r="L42" s="181" t="n">
        <v>0</v>
      </c>
      <c r="M42" s="330" t="n">
        <v>0</v>
      </c>
      <c r="N42" s="330" t="n">
        <v>0</v>
      </c>
      <c r="O42" s="141">
        <f>SUM(K42:N42)</f>
        <v>0.083</v>
      </c>
      <c r="P42" s="330">
        <f>L42</f>
        <v>0.0</v>
      </c>
      <c r="Q42" s="330">
        <f>P42</f>
        <v>0.0</v>
      </c>
      <c r="R42" s="330">
        <f>Q42</f>
        <v>0.0</v>
      </c>
      <c r="S42" s="330">
        <f>R42</f>
        <v>0.0</v>
      </c>
      <c r="T42" s="141">
        <f>SUM(P42:S42)</f>
        <v>0.0</v>
      </c>
      <c r="U42" s="141">
        <f>T42</f>
        <v>0.0</v>
      </c>
      <c r="V42" s="141">
        <f>U42</f>
        <v>0.0</v>
      </c>
      <c r="W42" s="141">
        <f>V42</f>
        <v>0.0</v>
      </c>
    </row>
    <row r="43">
      <c r="B43" s="320" t="inlineStr">
        <is>
          <t>% revenue</t>
        </is>
      </c>
      <c r="C43" s="72" t="inlineStr">
        <is>
          <t>%</t>
        </is>
      </c>
      <c r="J43" s="202" t="n"/>
    </row>
    <row r="44" ht="5.1" customHeight="1" s="20">
      <c r="B44" s="265" t="n"/>
      <c r="C44" s="72" t="n"/>
      <c r="J44" s="202" t="n"/>
    </row>
    <row r="45">
      <c r="B45" s="307" t="inlineStr">
        <is>
          <t>Share loss from provision in equity accounted investments</t>
        </is>
      </c>
      <c r="C45" s="118" t="inlineStr">
        <is>
          <t>$</t>
        </is>
      </c>
      <c r="D45" s="308" t="n">
        <v>0.5089240927068496</v>
      </c>
      <c r="E45" s="308" t="n">
        <v>0.588</v>
      </c>
      <c r="F45" s="181" t="n">
        <v>0</v>
      </c>
      <c r="G45" s="181" t="n">
        <v>0.238</v>
      </c>
      <c r="H45" s="181" t="n">
        <v>-0.08699999999999999</v>
      </c>
      <c r="I45" s="181" t="n">
        <v>-3.932</v>
      </c>
      <c r="J45" s="202">
        <f>SUM(F45:I45)</f>
        <v>-3.781</v>
      </c>
      <c r="K45" s="269" t="n">
        <v>0</v>
      </c>
      <c r="L45" s="330">
        <f>K45</f>
        <v>0.0</v>
      </c>
      <c r="M45" s="330">
        <f>L45</f>
        <v>0.0</v>
      </c>
      <c r="N45" s="330">
        <f>M45</f>
        <v>0.0</v>
      </c>
      <c r="O45" s="141">
        <f>SUM(K45:N45)</f>
        <v>0.0</v>
      </c>
      <c r="P45" s="330">
        <f>K45</f>
        <v>0.0</v>
      </c>
      <c r="Q45" s="330">
        <f>P45</f>
        <v>0.0</v>
      </c>
      <c r="R45" s="330">
        <f>Q45</f>
        <v>0.0</v>
      </c>
      <c r="S45" s="330">
        <f>R45</f>
        <v>0.0</v>
      </c>
      <c r="T45" s="141">
        <f>SUM(P45:S45)</f>
        <v>0.0</v>
      </c>
      <c r="U45" s="141">
        <f>T45</f>
        <v>0.0</v>
      </c>
      <c r="V45" s="141">
        <f>U45</f>
        <v>0.0</v>
      </c>
      <c r="W45" s="141">
        <f>V45</f>
        <v>0.0</v>
      </c>
    </row>
    <row r="46">
      <c r="B46" s="253" t="inlineStr">
        <is>
          <t>% revenue</t>
        </is>
      </c>
      <c r="C46" s="290" t="inlineStr">
        <is>
          <t>%</t>
        </is>
      </c>
      <c r="D46" s="254" t="n"/>
      <c r="E46" s="254" t="n"/>
      <c r="F46" s="266" t="n"/>
      <c r="G46" s="266" t="n"/>
      <c r="H46" s="266" t="n"/>
      <c r="I46" s="266" t="n"/>
      <c r="J46" s="254" t="n"/>
      <c r="K46" s="270" t="n"/>
      <c r="L46" s="266" t="n"/>
      <c r="M46" s="266" t="n"/>
      <c r="N46" s="266" t="n"/>
      <c r="O46" s="254" t="n"/>
      <c r="P46" s="266" t="n"/>
      <c r="Q46" s="266" t="n"/>
      <c r="R46" s="266" t="n"/>
      <c r="S46" s="266" t="n"/>
      <c r="T46" s="254" t="n"/>
      <c r="U46" s="254" t="n"/>
      <c r="V46" s="254" t="n"/>
      <c r="W46" s="254" t="n"/>
    </row>
    <row r="47" ht="5.1" customHeight="1" s="20">
      <c r="C47" s="72" t="n"/>
    </row>
    <row r="48">
      <c r="A48" s="305" t="inlineStr">
        <is>
          <t>x</t>
        </is>
      </c>
      <c r="B48" s="306" t="inlineStr">
        <is>
          <t>Income Before Taxes (EBT)</t>
        </is>
      </c>
      <c r="C48" s="293" t="inlineStr">
        <is>
          <t>$</t>
        </is>
      </c>
      <c r="D48" s="195">
        <f>D35-SUM(D39,D42,D45)</f>
        <v>448.66659117997824</v>
      </c>
      <c r="E48" s="195">
        <f>E35-SUM(E39,E42,E45)</f>
        <v>513.5569999999999</v>
      </c>
      <c r="F48" s="231">
        <f>F35-SUM(F39,F42,F45)</f>
        <v>136.47100000000003</v>
      </c>
      <c r="G48" s="231">
        <f>G35-SUM(G39,G42,G45)</f>
        <v>143.45000000000002</v>
      </c>
      <c r="H48" s="231">
        <f>H35-SUM(H39,H42,H45)</f>
        <v>159.66400000000004</v>
      </c>
      <c r="I48" s="231">
        <f>I35-SUM(I39,I42,I45)</f>
        <v>89.734</v>
      </c>
      <c r="J48" s="195">
        <f>J35-SUM(J39,J42,J45)</f>
        <v>529.3190000000002</v>
      </c>
      <c r="K48" s="197">
        <f>K35-SUM(K39,K42,K45)</f>
        <v>156.98200000000006</v>
      </c>
      <c r="L48" s="231">
        <f>L35-SUM(L39,L42,L45)</f>
        <v>157.03795257191268</v>
      </c>
      <c r="M48" s="231">
        <f>M35-SUM(M39,M42,M45)</f>
        <v>168.7395839613478</v>
      </c>
      <c r="N48" s="231">
        <f>N35-SUM(N39,N42,N45)</f>
        <v>170.98882915926146</v>
      </c>
      <c r="O48" s="195">
        <f>O35-SUM(O39,O42,O45)</f>
        <v>653.748365692522</v>
      </c>
      <c r="P48" s="231">
        <f>P35-SUM(P39,P42,P45)</f>
        <v>161.77928436101038</v>
      </c>
      <c r="Q48" s="231">
        <f>Q35-SUM(Q39,Q42,Q45)</f>
        <v>172.58788899252596</v>
      </c>
      <c r="R48" s="231">
        <f>R35-SUM(R39,R42,R45)</f>
        <v>184.6853100431049</v>
      </c>
      <c r="S48" s="231">
        <f>S35-SUM(S39,S42,S45)</f>
        <v>185.52768825840838</v>
      </c>
      <c r="T48" s="195">
        <f>T35-SUM(T39,T42,T45)</f>
        <v>711.6977771724307</v>
      </c>
      <c r="U48" s="195">
        <f>U35-SUM(U39,U42,U45)</f>
        <v>787.5038475218884</v>
      </c>
      <c r="V48" s="195">
        <f>V35-SUM(V39,V42,V45)</f>
        <v>869.9346068614889</v>
      </c>
      <c r="W48" s="195">
        <f>W35-SUM(W39,W42,W45)</f>
        <v>946.9517018378835</v>
      </c>
    </row>
    <row r="49">
      <c r="B49" s="320" t="inlineStr">
        <is>
          <t>% y/y change</t>
        </is>
      </c>
      <c r="C49" s="118" t="inlineStr">
        <is>
          <t>%</t>
        </is>
      </c>
      <c r="D49" s="335" t="n">
        <v>0</v>
      </c>
      <c r="E49" s="335">
        <f>E48/D48-1</f>
        <v>0.14462946449692637</v>
      </c>
      <c r="F49" s="336" t="n">
        <v>0</v>
      </c>
      <c r="G49" s="336" t="n">
        <v>0</v>
      </c>
      <c r="H49" s="336" t="n">
        <v>0</v>
      </c>
      <c r="I49" s="336" t="n">
        <v>0</v>
      </c>
      <c r="J49" s="335">
        <f>J48/E48-1</f>
        <v>0.030691821939921482</v>
      </c>
      <c r="K49" s="337">
        <f>K48/F48-1</f>
        <v>0.15029566721134913</v>
      </c>
      <c r="L49" s="336">
        <f>L48/G48-1</f>
        <v>0.09472256934062506</v>
      </c>
      <c r="M49" s="336">
        <f>M48/H48-1</f>
        <v>0.056841767470110716</v>
      </c>
      <c r="N49" s="336">
        <f>N48/I48-1</f>
        <v>0.9055077134560086</v>
      </c>
      <c r="O49" s="335">
        <f>O48/J48-1</f>
        <v>0.23507443657326066</v>
      </c>
      <c r="P49" s="336">
        <f>P48/K48-1</f>
        <v>0.030559454975795486</v>
      </c>
      <c r="Q49" s="336">
        <f>Q48/L48-1</f>
        <v>0.09902024425269085</v>
      </c>
      <c r="R49" s="336">
        <f>R48/M48-1</f>
        <v>0.0944990245170314</v>
      </c>
      <c r="S49" s="336">
        <f>S48/N48-1</f>
        <v>0.08502812242550184</v>
      </c>
      <c r="T49" s="335">
        <f>T48/O48-1</f>
        <v>0.08864176879206775</v>
      </c>
      <c r="U49" s="335">
        <f>U48/T48-1</f>
        <v>0.10651441212959023</v>
      </c>
      <c r="V49" s="335">
        <f>V48/U48-1</f>
        <v>0.10467346870620764</v>
      </c>
      <c r="W49" s="335">
        <f>W48/V48-1</f>
        <v>0.08853205099433104</v>
      </c>
    </row>
    <row r="50">
      <c r="B50" s="253" t="inlineStr">
        <is>
          <t>% margin</t>
        </is>
      </c>
      <c r="C50" s="292" t="inlineStr">
        <is>
          <t>%</t>
        </is>
      </c>
      <c r="D50" s="332">
        <f>D48/D35</f>
        <v>0.9404452090954827</v>
      </c>
      <c r="E50" s="332">
        <f>E48/E35</f>
        <v>0.945987964168811</v>
      </c>
      <c r="F50" s="333">
        <f>F48/F35</f>
        <v>0.9701913780356025</v>
      </c>
      <c r="G50" s="333">
        <f>G48/G35</f>
        <v>0.9467584495469155</v>
      </c>
      <c r="H50" s="333">
        <f>H48/H35</f>
        <v>0.9537417566663481</v>
      </c>
      <c r="I50" s="333">
        <f>I48/I35</f>
        <v>0.9228949614834775</v>
      </c>
      <c r="J50" s="332">
        <f>J48/J35</f>
        <v>0.9506106102510686</v>
      </c>
      <c r="K50" s="334">
        <f>K48/K35</f>
        <v>0.945424104454241</v>
      </c>
      <c r="L50" s="333">
        <f>L48/L35</f>
        <v>0.9476289932842736</v>
      </c>
      <c r="M50" s="333">
        <f>M48/M35</f>
        <v>0.9476289932842737</v>
      </c>
      <c r="N50" s="333">
        <f>N48/N35</f>
        <v>0.9476289932842739</v>
      </c>
      <c r="O50" s="332">
        <f>O48/O35</f>
        <v>0.9470986043376163</v>
      </c>
      <c r="P50" s="333">
        <f>P48/P35</f>
        <v>0.9476289932842739</v>
      </c>
      <c r="Q50" s="333">
        <f>Q48/Q35</f>
        <v>0.9476289932842736</v>
      </c>
      <c r="R50" s="333">
        <f>R48/R35</f>
        <v>0.9476289932842737</v>
      </c>
      <c r="S50" s="333">
        <f>S48/S35</f>
        <v>0.9476289932842737</v>
      </c>
      <c r="T50" s="332">
        <f>T48/T35</f>
        <v>0.9481255799924986</v>
      </c>
      <c r="U50" s="332">
        <f>U48/U35</f>
        <v>0.949032163166</v>
      </c>
      <c r="V50" s="332">
        <f>V48/V35</f>
        <v>0.949840117131029</v>
      </c>
      <c r="W50" s="332">
        <f>W48/W35</f>
        <v>0.9504688501402944</v>
      </c>
    </row>
    <row r="51" ht="5.1" customHeight="1" s="20">
      <c r="C51" s="72" t="n"/>
    </row>
    <row r="52">
      <c r="B52" s="307" t="inlineStr">
        <is>
          <t>Income Tax Expense</t>
        </is>
      </c>
      <c r="C52" s="72" t="inlineStr">
        <is>
          <t>$</t>
        </is>
      </c>
      <c r="D52" s="308" t="n">
        <v>103.3115908194905</v>
      </c>
      <c r="E52" s="308" t="n">
        <v>126.42</v>
      </c>
      <c r="F52" s="181" t="n">
        <v>34.221</v>
      </c>
      <c r="G52" s="181" t="n">
        <v>31.084</v>
      </c>
      <c r="H52" s="181" t="n">
        <v>34.432</v>
      </c>
      <c r="I52" s="181" t="n">
        <v>150.453</v>
      </c>
      <c r="J52" s="308" t="n">
        <v>250.19</v>
      </c>
      <c r="K52" s="269" t="n">
        <v>38.44</v>
      </c>
      <c r="L52" s="330">
        <f>L48*L53</f>
        <v>38.474298380118604</v>
      </c>
      <c r="M52" s="330">
        <f>M48*M53</f>
        <v>41.34119807053021</v>
      </c>
      <c r="N52" s="330">
        <f>N48*N53</f>
        <v>41.892263144019054</v>
      </c>
      <c r="O52" s="141">
        <f>SUM(K52:N52)</f>
        <v>160.14775959466786</v>
      </c>
      <c r="P52" s="330">
        <f>P48*P53</f>
        <v>39.635924668447544</v>
      </c>
      <c r="Q52" s="330">
        <f>Q48*Q53</f>
        <v>42.28403280316886</v>
      </c>
      <c r="R52" s="330">
        <f>R48*R53</f>
        <v>45.2479009605607</v>
      </c>
      <c r="S52" s="330">
        <f>S48*S53</f>
        <v>45.454283623310054</v>
      </c>
      <c r="T52" s="141">
        <f>SUM(P52:S52)</f>
        <v>172.62214205548716</v>
      </c>
      <c r="U52" s="141">
        <f>U48*U53</f>
        <v>192.93844264286264</v>
      </c>
      <c r="V52" s="141">
        <f>V48*V53</f>
        <v>213.13397868106478</v>
      </c>
      <c r="W52" s="141">
        <f>W48*W53</f>
        <v>232.00316695028147</v>
      </c>
    </row>
    <row r="53">
      <c r="B53" s="272" t="inlineStr">
        <is>
          <t>% tax rate</t>
        </is>
      </c>
      <c r="C53" s="292" t="inlineStr">
        <is>
          <t>%</t>
        </is>
      </c>
      <c r="D53" s="332">
        <f>D52/D48</f>
        <v>0.23026361411885918</v>
      </c>
      <c r="E53" s="332">
        <f>E52/E48</f>
        <v>0.2461654694610336</v>
      </c>
      <c r="F53" s="333">
        <f>F52/F48</f>
        <v>0.25075657099310467</v>
      </c>
      <c r="G53" s="333">
        <f>G52/G48</f>
        <v>0.2166887417218543</v>
      </c>
      <c r="H53" s="333">
        <f>H52/H48</f>
        <v>0.2156528710291612</v>
      </c>
      <c r="I53" s="333">
        <f>I52/I48</f>
        <v>1.6766554483250498</v>
      </c>
      <c r="J53" s="332">
        <f>J52/J48</f>
        <v>0.4726639323356991</v>
      </c>
      <c r="K53" s="334">
        <f>K52/K48</f>
        <v>0.24486883846555646</v>
      </c>
      <c r="L53" s="341" t="n">
        <v>0.245</v>
      </c>
      <c r="M53" s="333">
        <f>L53</f>
        <v>0.245</v>
      </c>
      <c r="N53" s="333">
        <f>M53</f>
        <v>0.245</v>
      </c>
      <c r="O53" s="332">
        <f>O52/O48</f>
        <v>0.24496850470137968</v>
      </c>
      <c r="P53" s="333">
        <f>L53</f>
        <v>0.245</v>
      </c>
      <c r="Q53" s="333">
        <f>P53</f>
        <v>0.245</v>
      </c>
      <c r="R53" s="333">
        <f>Q53</f>
        <v>0.245</v>
      </c>
      <c r="S53" s="333">
        <f>R53</f>
        <v>0.245</v>
      </c>
      <c r="T53" s="332">
        <f>T52/T48</f>
        <v>0.24254978390028625</v>
      </c>
      <c r="U53" s="332">
        <f>L53</f>
        <v>0.245</v>
      </c>
      <c r="V53" s="332">
        <f>U53</f>
        <v>0.245</v>
      </c>
      <c r="W53" s="332">
        <f>V53</f>
        <v>0.245</v>
      </c>
    </row>
    <row r="54" ht="5.1" customHeight="1" s="20">
      <c r="C54" s="72" t="n"/>
    </row>
    <row r="55">
      <c r="A55" s="305" t="inlineStr">
        <is>
          <t>x</t>
        </is>
      </c>
      <c r="B55" s="306" t="inlineStr">
        <is>
          <t>Net Income</t>
        </is>
      </c>
      <c r="C55" s="293" t="inlineStr">
        <is>
          <t>$</t>
        </is>
      </c>
      <c r="D55" s="195">
        <f>D48-D52</f>
        <v>345.3550003604878</v>
      </c>
      <c r="E55" s="195">
        <f>E48-E52</f>
        <v>387.1369999999999</v>
      </c>
      <c r="F55" s="231">
        <f>F48-F52</f>
        <v>102.25000000000003</v>
      </c>
      <c r="G55" s="231">
        <f>G48-G52</f>
        <v>112.36600000000001</v>
      </c>
      <c r="H55" s="231">
        <f>H48-H52</f>
        <v>125.23200000000004</v>
      </c>
      <c r="I55" s="231">
        <f>I48-I52</f>
        <v>-60.71900000000001</v>
      </c>
      <c r="J55" s="195">
        <f>J48-J52</f>
        <v>279.1290000000002</v>
      </c>
      <c r="K55" s="197">
        <f>K48-K52</f>
        <v>118.54200000000006</v>
      </c>
      <c r="L55" s="231">
        <f>L48-L52</f>
        <v>118.56365419179409</v>
      </c>
      <c r="M55" s="231">
        <f>M48-M52</f>
        <v>127.39838589081758</v>
      </c>
      <c r="N55" s="231">
        <f>N48-N52</f>
        <v>129.0965660152424</v>
      </c>
      <c r="O55" s="195">
        <f>O48-O52</f>
        <v>493.6006060978542</v>
      </c>
      <c r="P55" s="231">
        <f>P48-P52</f>
        <v>122.14335969256284</v>
      </c>
      <c r="Q55" s="231">
        <f>Q48-Q52</f>
        <v>130.3038561893571</v>
      </c>
      <c r="R55" s="231">
        <f>R48-R52</f>
        <v>139.4374090825442</v>
      </c>
      <c r="S55" s="231">
        <f>S48-S52</f>
        <v>140.0734046350983</v>
      </c>
      <c r="T55" s="195">
        <f>T48-T52</f>
        <v>539.0756351169435</v>
      </c>
      <c r="U55" s="195">
        <f>U48-U52</f>
        <v>594.5654048790257</v>
      </c>
      <c r="V55" s="195">
        <f>V48-V52</f>
        <v>656.8006281804242</v>
      </c>
      <c r="W55" s="195">
        <f>W48-W52</f>
        <v>714.9485348876021</v>
      </c>
    </row>
    <row r="56">
      <c r="B56" s="320" t="inlineStr">
        <is>
          <t>% y/y change</t>
        </is>
      </c>
      <c r="C56" s="118" t="inlineStr">
        <is>
          <t>%</t>
        </is>
      </c>
      <c r="D56" s="335" t="n">
        <v>0</v>
      </c>
      <c r="E56" s="335">
        <f>E55/D55-1</f>
        <v>0.12098275570325989</v>
      </c>
      <c r="F56" s="336" t="n">
        <v>0</v>
      </c>
      <c r="G56" s="336" t="n">
        <v>0</v>
      </c>
      <c r="H56" s="336" t="n">
        <v>0</v>
      </c>
      <c r="I56" s="336" t="n">
        <v>0</v>
      </c>
      <c r="J56" s="335">
        <f>J55/E55-1</f>
        <v>-0.2789916747817949</v>
      </c>
      <c r="K56" s="337">
        <f>K55/F55-1</f>
        <v>0.1593349633251837</v>
      </c>
      <c r="L56" s="336">
        <f>L55/G55-1</f>
        <v>0.05515595635507253</v>
      </c>
      <c r="M56" s="336">
        <f>M55/H55-1</f>
        <v>0.017298980219253357</v>
      </c>
      <c r="N56" s="336">
        <f>N55/I55-1</f>
        <v>-3.126131293585902</v>
      </c>
      <c r="O56" s="335">
        <f>O55/J55-1</f>
        <v>0.7683601707377372</v>
      </c>
      <c r="P56" s="336">
        <f>P55/K55-1</f>
        <v>0.030380453278692654</v>
      </c>
      <c r="Q56" s="336">
        <f>Q55/L55-1</f>
        <v>0.09902024425269085</v>
      </c>
      <c r="R56" s="336">
        <f>R55/M55-1</f>
        <v>0.09449902451703163</v>
      </c>
      <c r="S56" s="336">
        <f>S55/N55-1</f>
        <v>0.08502812242550206</v>
      </c>
      <c r="T56" s="335">
        <f>T55/O55-1</f>
        <v>0.09212920012110781</v>
      </c>
      <c r="U56" s="335">
        <f>U55/T55-1</f>
        <v>0.10293503573027296</v>
      </c>
      <c r="V56" s="335">
        <f>V55/U55-1</f>
        <v>0.10467346870620786</v>
      </c>
      <c r="W56" s="335">
        <f>W55/V55-1</f>
        <v>0.08853205099433104</v>
      </c>
    </row>
    <row r="57" ht="5.1" customHeight="1" s="20">
      <c r="B57" s="273" t="n"/>
      <c r="C57" s="291" t="n"/>
      <c r="D57" s="274" t="n"/>
      <c r="E57" s="274" t="n"/>
      <c r="F57" s="275" t="n"/>
      <c r="G57" s="275" t="n"/>
      <c r="H57" s="275" t="n"/>
      <c r="I57" s="275" t="n"/>
      <c r="J57" s="274" t="n"/>
      <c r="K57" s="276" t="n"/>
      <c r="L57" s="275" t="n"/>
      <c r="M57" s="275" t="n"/>
      <c r="N57" s="275" t="n"/>
      <c r="O57" s="274" t="n"/>
      <c r="P57" s="275" t="n"/>
      <c r="Q57" s="275" t="n"/>
      <c r="R57" s="275" t="n"/>
      <c r="S57" s="275" t="n"/>
      <c r="T57" s="274" t="n"/>
      <c r="U57" s="274" t="n"/>
      <c r="V57" s="274" t="n"/>
      <c r="W57" s="274" t="n"/>
    </row>
    <row r="58">
      <c r="A58" s="305" t="inlineStr">
        <is>
          <t>x</t>
        </is>
      </c>
      <c r="B58" s="251" t="inlineStr">
        <is>
          <t>Adjusted Operating Income</t>
        </is>
      </c>
      <c r="C58" s="72" t="n"/>
    </row>
    <row r="59">
      <c r="B59" s="281" t="inlineStr">
        <is>
          <t>Net Income</t>
        </is>
      </c>
      <c r="C59" s="118" t="inlineStr">
        <is>
          <t>$</t>
        </is>
      </c>
      <c r="D59" s="232">
        <f>D55</f>
        <v>345.3550003604878</v>
      </c>
      <c r="E59" s="232">
        <f>E55</f>
        <v>387.1369999999999</v>
      </c>
      <c r="F59" s="311">
        <f>F55</f>
        <v>102.25000000000003</v>
      </c>
      <c r="G59" s="311">
        <f>G55</f>
        <v>112.36600000000001</v>
      </c>
      <c r="H59" s="311">
        <f>H55</f>
        <v>125.23200000000004</v>
      </c>
      <c r="I59" s="311">
        <f>I55</f>
        <v>-60.71900000000001</v>
      </c>
      <c r="J59" s="232">
        <f>J55</f>
        <v>279.1290000000002</v>
      </c>
      <c r="K59" s="310">
        <f>K55</f>
        <v>118.54200000000006</v>
      </c>
      <c r="L59" s="311">
        <f>L55</f>
        <v>118.56365419179409</v>
      </c>
      <c r="M59" s="311">
        <f>M55</f>
        <v>127.39838589081758</v>
      </c>
      <c r="N59" s="311">
        <f>N55</f>
        <v>129.0965660152424</v>
      </c>
      <c r="O59" s="232">
        <f>O55</f>
        <v>493.6006060978542</v>
      </c>
      <c r="P59" s="311">
        <f>P55</f>
        <v>122.14335969256284</v>
      </c>
      <c r="Q59" s="311">
        <f>Q55</f>
        <v>130.3038561893571</v>
      </c>
      <c r="R59" s="311">
        <f>R55</f>
        <v>139.4374090825442</v>
      </c>
      <c r="S59" s="311">
        <f>S55</f>
        <v>140.0734046350983</v>
      </c>
      <c r="T59" s="232">
        <f>T55</f>
        <v>539.0756351169435</v>
      </c>
      <c r="U59" s="232">
        <f>U55</f>
        <v>594.5654048790257</v>
      </c>
      <c r="V59" s="232">
        <f>V55</f>
        <v>656.8006281804242</v>
      </c>
      <c r="W59" s="232">
        <f>W55</f>
        <v>714.9485348876021</v>
      </c>
    </row>
    <row r="60">
      <c r="B60" s="282" t="inlineStr">
        <is>
          <t>Amortization of debenture synthetic discount</t>
        </is>
      </c>
      <c r="C60" s="118" t="inlineStr">
        <is>
          <t>$</t>
        </is>
      </c>
      <c r="D60" s="202">
        <f>D29</f>
        <v>3.0372471326027406</v>
      </c>
      <c r="E60" s="202">
        <f>E29</f>
        <v>1.517</v>
      </c>
      <c r="F60" s="268">
        <f>F29</f>
        <v>0.0</v>
      </c>
      <c r="G60" s="268">
        <f>G29</f>
        <v>0.0</v>
      </c>
      <c r="H60" s="268">
        <f>H29</f>
        <v>0.0</v>
      </c>
      <c r="I60" s="268">
        <f>I29</f>
        <v>0.0</v>
      </c>
      <c r="J60" s="202">
        <f>J29</f>
        <v>0.0</v>
      </c>
      <c r="K60" s="312">
        <f>K29</f>
        <v>0.0</v>
      </c>
      <c r="L60" s="268">
        <f>L29</f>
        <v>0.0</v>
      </c>
      <c r="M60" s="268">
        <f>M29</f>
        <v>0.0</v>
      </c>
      <c r="N60" s="268">
        <f>N29</f>
        <v>0.0</v>
      </c>
      <c r="O60" s="202">
        <f>SUM(K60:N60)</f>
        <v>0.0</v>
      </c>
      <c r="P60" s="268">
        <f>P29</f>
        <v>0.0</v>
      </c>
      <c r="Q60" s="268">
        <f>Q29</f>
        <v>0.0</v>
      </c>
      <c r="R60" s="268">
        <f>R29</f>
        <v>0.0</v>
      </c>
      <c r="S60" s="268">
        <f>S29</f>
        <v>0.0</v>
      </c>
      <c r="T60" s="202">
        <f>SUM(P60:S60)</f>
        <v>0.0</v>
      </c>
      <c r="U60" s="202">
        <f>U29</f>
        <v>0.0</v>
      </c>
      <c r="V60" s="202">
        <f>V29</f>
        <v>0.0</v>
      </c>
      <c r="W60" s="202">
        <f>W29</f>
        <v>0.0</v>
      </c>
    </row>
    <row r="61">
      <c r="B61" s="282" t="inlineStr">
        <is>
          <t>Share-based Compensation</t>
        </is>
      </c>
      <c r="C61" s="118" t="inlineStr">
        <is>
          <t>$</t>
        </is>
      </c>
      <c r="D61" s="202">
        <f>D32</f>
        <v>36.47067093470686</v>
      </c>
      <c r="E61" s="202">
        <f>E32</f>
        <v>43.435</v>
      </c>
      <c r="F61" s="268">
        <f>F32</f>
        <v>10.183</v>
      </c>
      <c r="G61" s="268">
        <f>G32</f>
        <v>10.333</v>
      </c>
      <c r="H61" s="268">
        <f>H32</f>
        <v>8.252</v>
      </c>
      <c r="I61" s="268">
        <f>I32</f>
        <v>10.75</v>
      </c>
      <c r="J61" s="202">
        <f>J32</f>
        <v>39.518</v>
      </c>
      <c r="K61" s="312">
        <f>K32</f>
        <v>9.335</v>
      </c>
      <c r="L61" s="268">
        <f>L32</f>
        <v>10.95762459966793</v>
      </c>
      <c r="M61" s="268">
        <f>M32</f>
        <v>11.774128392981229</v>
      </c>
      <c r="N61" s="268">
        <f>N32</f>
        <v>11.931073794444336</v>
      </c>
      <c r="O61" s="202">
        <f>SUM(K61:N61)</f>
        <v>43.997826787093494</v>
      </c>
      <c r="P61" s="268">
        <f>P32</f>
        <v>11.288460126981704</v>
      </c>
      <c r="Q61" s="268">
        <f>Q32</f>
        <v>12.042651263956342</v>
      </c>
      <c r="R61" s="268">
        <f>R32</f>
        <v>12.88677204065624</v>
      </c>
      <c r="S61" s="268">
        <f>S32</f>
        <v>12.945550597706047</v>
      </c>
      <c r="T61" s="202">
        <f>SUM(P61:S61)</f>
        <v>49.16343402930033</v>
      </c>
      <c r="U61" s="202">
        <f>U32</f>
        <v>53.39826738671731</v>
      </c>
      <c r="V61" s="202">
        <f>V32</f>
        <v>58.00318263584351</v>
      </c>
      <c r="W61" s="202">
        <f>W32</f>
        <v>62.30566872163918</v>
      </c>
    </row>
    <row r="62">
      <c r="B62" s="282" t="inlineStr">
        <is>
          <t>Amortization of intangibles from acquisitions</t>
        </is>
      </c>
      <c r="C62" s="118" t="inlineStr">
        <is>
          <t>$</t>
        </is>
      </c>
      <c r="D62" s="202">
        <f>D39</f>
        <v>27.90341164481645</v>
      </c>
      <c r="E62" s="202">
        <f>E39</f>
        <v>28.734</v>
      </c>
      <c r="F62" s="268">
        <f>F39</f>
        <v>7.799</v>
      </c>
      <c r="G62" s="268">
        <f>G39</f>
        <v>7.829</v>
      </c>
      <c r="H62" s="268">
        <f>H39</f>
        <v>7.831</v>
      </c>
      <c r="I62" s="268">
        <f>I39</f>
        <v>7.823</v>
      </c>
      <c r="J62" s="202">
        <f>J39</f>
        <v>31.282</v>
      </c>
      <c r="K62" s="312">
        <f>K39</f>
        <v>8.979</v>
      </c>
      <c r="L62" s="268">
        <f>L39</f>
        <v>8.678750573327381</v>
      </c>
      <c r="M62" s="268">
        <f>M39</f>
        <v>9.32544481804138</v>
      </c>
      <c r="N62" s="268">
        <f>N39</f>
        <v>9.449750043187558</v>
      </c>
      <c r="O62" s="202">
        <f>SUM(K62:N62)</f>
        <v>36.432945434556316</v>
      </c>
      <c r="P62" s="268">
        <f>P39</f>
        <v>8.940781727637825</v>
      </c>
      <c r="Q62" s="268">
        <f>Q39</f>
        <v>9.538122574906438</v>
      </c>
      <c r="R62" s="268">
        <f>R39</f>
        <v>10.206690256533696</v>
      </c>
      <c r="S62" s="268">
        <f>S39</f>
        <v>10.253244546750103</v>
      </c>
      <c r="T62" s="202">
        <f>SUM(P62:S62)</f>
        <v>38.938839105828066</v>
      </c>
      <c r="U62" s="202">
        <f>U39</f>
        <v>42.29294766232509</v>
      </c>
      <c r="V62" s="202">
        <f>V39</f>
        <v>45.94017161081564</v>
      </c>
      <c r="W62" s="202">
        <f>W39</f>
        <v>49.347863053809945</v>
      </c>
    </row>
    <row r="63">
      <c r="B63" s="282" t="inlineStr">
        <is>
          <t>Gain on investments</t>
        </is>
      </c>
      <c r="C63" s="118" t="inlineStr">
        <is>
          <t>$</t>
        </is>
      </c>
      <c r="D63" s="202">
        <f>D42</f>
        <v>0.0</v>
      </c>
      <c r="E63" s="202">
        <f>E42</f>
        <v>0.0</v>
      </c>
      <c r="F63" s="268">
        <f>F42</f>
        <v>-3.606</v>
      </c>
      <c r="G63" s="268">
        <f>G42</f>
        <v>0.0</v>
      </c>
      <c r="H63" s="268">
        <f>H42</f>
        <v>0.0</v>
      </c>
      <c r="I63" s="268">
        <f>I42</f>
        <v>3.606</v>
      </c>
      <c r="J63" s="202">
        <f>J42</f>
        <v>0.0</v>
      </c>
      <c r="K63" s="312">
        <f>K42</f>
        <v>0.083</v>
      </c>
      <c r="L63" s="268">
        <f>L42</f>
        <v>0.0</v>
      </c>
      <c r="M63" s="268">
        <f>M42</f>
        <v>0.0</v>
      </c>
      <c r="N63" s="268">
        <f>N42</f>
        <v>0.0</v>
      </c>
      <c r="O63" s="202">
        <f>SUM(K63:N63)</f>
        <v>0.083</v>
      </c>
      <c r="P63" s="268">
        <f>P42</f>
        <v>0.0</v>
      </c>
      <c r="Q63" s="268">
        <f>Q42</f>
        <v>0.0</v>
      </c>
      <c r="R63" s="268">
        <f>R42</f>
        <v>0.0</v>
      </c>
      <c r="S63" s="268">
        <f>S42</f>
        <v>0.0</v>
      </c>
      <c r="T63" s="202">
        <f>SUM(P63:S63)</f>
        <v>0.0</v>
      </c>
      <c r="U63" s="202">
        <f>U42</f>
        <v>0.0</v>
      </c>
      <c r="V63" s="202">
        <f>V42</f>
        <v>0.0</v>
      </c>
      <c r="W63" s="202">
        <f>W42</f>
        <v>0.0</v>
      </c>
    </row>
    <row r="64">
      <c r="B64" s="282" t="inlineStr">
        <is>
          <t>Income Tax Expense</t>
        </is>
      </c>
      <c r="C64" s="118" t="inlineStr">
        <is>
          <t>$</t>
        </is>
      </c>
      <c r="D64" s="202">
        <f>D52</f>
        <v>103.31159081949046</v>
      </c>
      <c r="E64" s="202">
        <f>E52</f>
        <v>126.42</v>
      </c>
      <c r="F64" s="268">
        <f>F52</f>
        <v>34.221</v>
      </c>
      <c r="G64" s="268">
        <f>G52</f>
        <v>31.084</v>
      </c>
      <c r="H64" s="268">
        <f>H52</f>
        <v>34.432</v>
      </c>
      <c r="I64" s="268">
        <f>I52</f>
        <v>150.453</v>
      </c>
      <c r="J64" s="202">
        <f>J52</f>
        <v>250.19</v>
      </c>
      <c r="K64" s="312">
        <f>K52</f>
        <v>38.44</v>
      </c>
      <c r="L64" s="268">
        <f>L52</f>
        <v>38.474298380118604</v>
      </c>
      <c r="M64" s="268">
        <f>M52</f>
        <v>41.34119807053021</v>
      </c>
      <c r="N64" s="268">
        <f>N52</f>
        <v>41.892263144019054</v>
      </c>
      <c r="O64" s="202">
        <f>SUM(K64:N64)</f>
        <v>160.14775959466786</v>
      </c>
      <c r="P64" s="268">
        <f>P52</f>
        <v>39.635924668447544</v>
      </c>
      <c r="Q64" s="268">
        <f>Q52</f>
        <v>42.28403280316886</v>
      </c>
      <c r="R64" s="268">
        <f>R52</f>
        <v>45.2479009605607</v>
      </c>
      <c r="S64" s="268">
        <f>S52</f>
        <v>45.454283623310054</v>
      </c>
      <c r="T64" s="202">
        <f>SUM(P64:S64)</f>
        <v>172.62214205548716</v>
      </c>
      <c r="U64" s="202">
        <f>U52</f>
        <v>192.93844264286264</v>
      </c>
      <c r="V64" s="202">
        <f>V52</f>
        <v>213.13397868106478</v>
      </c>
      <c r="W64" s="202">
        <f>W52</f>
        <v>232.00316695028147</v>
      </c>
    </row>
    <row r="65">
      <c r="B65" s="282" t="inlineStr">
        <is>
          <t>Strategic initiatives costs - Salaries, wages and benefits</t>
        </is>
      </c>
      <c r="C65" s="118" t="inlineStr">
        <is>
          <t>$</t>
        </is>
      </c>
      <c r="D65" s="141" t="n">
        <v>0</v>
      </c>
      <c r="E65" s="308" t="n">
        <v>5.593</v>
      </c>
      <c r="F65" s="181" t="n">
        <v>0</v>
      </c>
      <c r="G65" s="181" t="n">
        <v>0</v>
      </c>
      <c r="H65" s="181" t="n">
        <v>0</v>
      </c>
      <c r="I65" s="181" t="n">
        <v>5.802</v>
      </c>
      <c r="J65" s="308" t="n">
        <v>5.802</v>
      </c>
      <c r="K65" s="269" t="n">
        <v>4.361</v>
      </c>
      <c r="L65" s="181" t="n">
        <v>0</v>
      </c>
      <c r="M65" s="181" t="n">
        <v>0</v>
      </c>
      <c r="N65" s="181" t="n">
        <v>0</v>
      </c>
      <c r="O65" s="141">
        <f>SUM(K65:N65)</f>
        <v>4.361</v>
      </c>
      <c r="P65" s="181" t="n">
        <v>0</v>
      </c>
      <c r="Q65" s="181" t="n">
        <v>0</v>
      </c>
      <c r="R65" s="181" t="n">
        <v>0</v>
      </c>
      <c r="S65" s="181" t="n">
        <v>0</v>
      </c>
      <c r="T65" s="202">
        <f>SUM(P65:S65)</f>
        <v>0.0</v>
      </c>
      <c r="U65" s="308" t="n">
        <v>0</v>
      </c>
      <c r="V65" s="308" t="n">
        <v>0</v>
      </c>
      <c r="W65" s="308" t="n">
        <v>0</v>
      </c>
    </row>
    <row r="66">
      <c r="B66" s="282" t="inlineStr">
        <is>
          <t>Strategic initiatives costs - General and administrative expenses</t>
        </is>
      </c>
      <c r="C66" s="118" t="inlineStr">
        <is>
          <t>$</t>
        </is>
      </c>
      <c r="D66" s="141" t="n">
        <v>0</v>
      </c>
      <c r="E66" s="308" t="n">
        <v>7.806</v>
      </c>
      <c r="F66" s="181" t="n">
        <v>0</v>
      </c>
      <c r="G66" s="181" t="n">
        <v>0</v>
      </c>
      <c r="H66" s="181" t="n">
        <v>2.004</v>
      </c>
      <c r="I66" s="181" t="n">
        <v>7.646000000000001</v>
      </c>
      <c r="J66" s="308" t="n">
        <v>9.65</v>
      </c>
      <c r="K66" s="269" t="n">
        <v>2.203</v>
      </c>
      <c r="L66" s="181" t="n">
        <v>0</v>
      </c>
      <c r="M66" s="181" t="n">
        <v>0</v>
      </c>
      <c r="N66" s="181" t="n">
        <v>0</v>
      </c>
      <c r="O66" s="141">
        <f>SUM(K66:N66)</f>
        <v>2.203</v>
      </c>
      <c r="P66" s="181" t="n">
        <v>0</v>
      </c>
      <c r="Q66" s="181" t="n">
        <v>0</v>
      </c>
      <c r="R66" s="181" t="n">
        <v>0</v>
      </c>
      <c r="S66" s="181" t="n">
        <v>0</v>
      </c>
      <c r="T66" s="202">
        <f>SUM(P66:S66)</f>
        <v>0.0</v>
      </c>
      <c r="U66" s="308" t="n">
        <v>0</v>
      </c>
      <c r="V66" s="308" t="n">
        <v>0</v>
      </c>
      <c r="W66" s="308" t="n">
        <v>0</v>
      </c>
    </row>
    <row r="67">
      <c r="B67" s="282" t="inlineStr">
        <is>
          <t>Strategic initiatives costs - Depreciation and Amortization</t>
        </is>
      </c>
      <c r="C67" s="118" t="inlineStr">
        <is>
          <t>$</t>
        </is>
      </c>
      <c r="D67" s="141" t="n">
        <v>0</v>
      </c>
      <c r="E67" s="308" t="n">
        <v>0</v>
      </c>
      <c r="F67" s="181" t="n">
        <v>0</v>
      </c>
      <c r="G67" s="181" t="n">
        <v>0</v>
      </c>
      <c r="H67" s="181" t="n">
        <v>0</v>
      </c>
      <c r="I67" s="181" t="n">
        <v>54.09</v>
      </c>
      <c r="J67" s="308" t="n">
        <v>54.09</v>
      </c>
      <c r="K67" s="269" t="n">
        <v>0</v>
      </c>
      <c r="L67" s="181" t="n">
        <v>0</v>
      </c>
      <c r="M67" s="181" t="n">
        <v>0</v>
      </c>
      <c r="N67" s="181" t="n">
        <v>0</v>
      </c>
      <c r="O67" s="141">
        <f>SUM(K67:N67)</f>
        <v>0.0</v>
      </c>
      <c r="P67" s="181" t="n">
        <v>0</v>
      </c>
      <c r="Q67" s="181" t="n">
        <v>0</v>
      </c>
      <c r="R67" s="181" t="n">
        <v>0</v>
      </c>
      <c r="S67" s="181" t="n">
        <v>0</v>
      </c>
      <c r="T67" s="202">
        <f>SUM(P67:S67)</f>
        <v>0.0</v>
      </c>
      <c r="U67" s="308" t="n">
        <v>0</v>
      </c>
      <c r="V67" s="308" t="n">
        <v>0</v>
      </c>
      <c r="W67" s="308" t="n">
        <v>0</v>
      </c>
    </row>
    <row r="68">
      <c r="B68" s="283" t="inlineStr">
        <is>
          <t>Share loss from JV</t>
        </is>
      </c>
      <c r="C68" s="292" t="inlineStr">
        <is>
          <t>$</t>
        </is>
      </c>
      <c r="D68" s="313">
        <f>D45</f>
        <v>0.5089240927068496</v>
      </c>
      <c r="E68" s="313">
        <f>E45</f>
        <v>0.588</v>
      </c>
      <c r="F68" s="314">
        <f>F45</f>
        <v>0.0</v>
      </c>
      <c r="G68" s="314">
        <f>G45</f>
        <v>0.238</v>
      </c>
      <c r="H68" s="314">
        <f>H45</f>
        <v>-0.087</v>
      </c>
      <c r="I68" s="314">
        <f>I45</f>
        <v>-3.932</v>
      </c>
      <c r="J68" s="313">
        <f>J45</f>
        <v>-3.781</v>
      </c>
      <c r="K68" s="315">
        <f>K45</f>
        <v>0.0</v>
      </c>
      <c r="L68" s="314">
        <f>L45</f>
        <v>0.0</v>
      </c>
      <c r="M68" s="314">
        <f>M45</f>
        <v>0.0</v>
      </c>
      <c r="N68" s="314">
        <f>N45</f>
        <v>0.0</v>
      </c>
      <c r="O68" s="313">
        <f>SUM(K68:N68)</f>
        <v>0.0</v>
      </c>
      <c r="P68" s="314">
        <f>P45</f>
        <v>0.0</v>
      </c>
      <c r="Q68" s="314">
        <f>Q45</f>
        <v>0.0</v>
      </c>
      <c r="R68" s="314">
        <f>R45</f>
        <v>0.0</v>
      </c>
      <c r="S68" s="314">
        <f>S45</f>
        <v>0.0</v>
      </c>
      <c r="T68" s="313">
        <f>SUM(P68:S68)</f>
        <v>0.0</v>
      </c>
      <c r="U68" s="313">
        <f>U45</f>
        <v>0.0</v>
      </c>
      <c r="V68" s="313">
        <f>V45</f>
        <v>0.0</v>
      </c>
      <c r="W68" s="313">
        <f>W45</f>
        <v>0.0</v>
      </c>
    </row>
    <row r="69">
      <c r="A69" s="305" t="inlineStr">
        <is>
          <t>x</t>
        </is>
      </c>
      <c r="B69" s="306" t="inlineStr">
        <is>
          <t>Adjusted Operating Income</t>
        </is>
      </c>
      <c r="C69" s="293" t="inlineStr">
        <is>
          <t>$</t>
        </is>
      </c>
      <c r="D69" s="195">
        <f>D59+D60+D61+D62+D63+D64+D65+D66+D67+D68</f>
        <v>516.5868449848111</v>
      </c>
      <c r="E69" s="195">
        <f>E59+E60+E61+E62+E63+E64+E65+E66+E67+E68</f>
        <v>601.2299999999998</v>
      </c>
      <c r="F69" s="231">
        <f>F59+F60+F61+F62+F63+F64+F65+F66+F67+F68</f>
        <v>150.84700000000004</v>
      </c>
      <c r="G69" s="231">
        <f>G59+G60+G61+G62+G63+G64+G65+G66+G67+G68</f>
        <v>161.85000000000002</v>
      </c>
      <c r="H69" s="231">
        <f>H59+H60+H61+H62+H63+H64+H65+H66+H67+H68</f>
        <v>177.66400000000002</v>
      </c>
      <c r="I69" s="231">
        <f>I59+I60+I61+I62+I63+I64+I65+I66+I67+I68</f>
        <v>175.51900000000003</v>
      </c>
      <c r="J69" s="195">
        <f>J59+J60+J61+J62+J63+J64+J65+J66+J67+J68</f>
        <v>665.8800000000002</v>
      </c>
      <c r="K69" s="197">
        <f>K59+K60+K61+K62+K63+K64+K65+K66+K67+K68</f>
        <v>181.94300000000004</v>
      </c>
      <c r="L69" s="231">
        <f>L59+L60+L61+L62+L63+L64+L65+L66+L67+L68</f>
        <v>176.674327744908</v>
      </c>
      <c r="M69" s="231">
        <f>M59+M60+M61+M62+M63+M64+M65+M66+M67+M68</f>
        <v>189.8391571723704</v>
      </c>
      <c r="N69" s="231">
        <f>N59+N60+N61+N62+N63+N64+N65+N66+N67+N68</f>
        <v>192.3696529968933</v>
      </c>
      <c r="O69" s="195">
        <f>O59+O60+O61+O62+O63+O64+O65+O66+O67+O68</f>
        <v>740.8261379141718</v>
      </c>
      <c r="P69" s="231">
        <f>P59+P60+P61+P62+P63+P64+P65+P66+P67+P68</f>
        <v>182.0085262156299</v>
      </c>
      <c r="Q69" s="231">
        <f>Q59+Q60+Q61+Q62+Q63+Q64+Q65+Q66+Q67+Q68</f>
        <v>194.16866283138873</v>
      </c>
      <c r="R69" s="231">
        <f>R59+R60+R61+R62+R63+R64+R65+R66+R67+R68</f>
        <v>207.77877234029484</v>
      </c>
      <c r="S69" s="231">
        <f>S59+S60+S61+S62+S63+S64+S65+S66+S67+S68</f>
        <v>208.72648340286452</v>
      </c>
      <c r="T69" s="195">
        <f>T59+T60+T61+T62+T63+T64+T65+T66+T67+T68</f>
        <v>799.8000503075591</v>
      </c>
      <c r="U69" s="195">
        <f>U59+U60+U61+U62+U63+U64+U65+U66+U67+U68</f>
        <v>883.1950625709308</v>
      </c>
      <c r="V69" s="195">
        <f>V59+V60+V61+V62+V63+V64+V65+V66+V67+V68</f>
        <v>973.8779611081479</v>
      </c>
      <c r="W69" s="195">
        <f>W59+W60+W61+W62+W63+W64+W65+W66+W67+W68</f>
        <v>1058.6052336133328</v>
      </c>
    </row>
    <row r="70">
      <c r="B70" s="320" t="inlineStr">
        <is>
          <t>% y/y change</t>
        </is>
      </c>
      <c r="C70" s="72" t="inlineStr">
        <is>
          <t>%</t>
        </is>
      </c>
      <c r="D70" s="335" t="n">
        <v>0</v>
      </c>
      <c r="E70" s="335">
        <f>E69/D69-1</f>
        <v>0.16385077521220537</v>
      </c>
      <c r="F70" s="336" t="n">
        <v>0</v>
      </c>
      <c r="G70" s="336" t="n">
        <v>0</v>
      </c>
      <c r="H70" s="336" t="n">
        <v>0</v>
      </c>
      <c r="I70" s="336" t="n">
        <v>0</v>
      </c>
      <c r="J70" s="335">
        <f>J69/E69-1</f>
        <v>0.10752956439299521</v>
      </c>
      <c r="K70" s="337">
        <f>K69/F69-1</f>
        <v>0.20614264784848224</v>
      </c>
      <c r="L70" s="336">
        <f>L69/G69-1</f>
        <v>0.0915930042935309</v>
      </c>
      <c r="M70" s="336">
        <f>M69/H69-1</f>
        <v>0.06852911772993053</v>
      </c>
      <c r="N70" s="336">
        <f>N69/I69-1</f>
        <v>0.09600472311768682</v>
      </c>
      <c r="O70" s="335">
        <f>O69/J69-1</f>
        <v>0.1125520182527957</v>
      </c>
      <c r="P70" s="336">
        <f>P69/K69-1</f>
        <v>0.00036014694508645917</v>
      </c>
      <c r="Q70" s="336">
        <f>Q69/L69-1</f>
        <v>0.09902024425269085</v>
      </c>
      <c r="R70" s="336">
        <f>R69/M69-1</f>
        <v>0.09449902451703163</v>
      </c>
      <c r="S70" s="336">
        <f>S69/N69-1</f>
        <v>0.08502812242550206</v>
      </c>
      <c r="T70" s="335">
        <f>T69/O69-1</f>
        <v>0.07960560430471708</v>
      </c>
      <c r="U70" s="335">
        <f>U69/T69-1</f>
        <v>0.1042698262288213</v>
      </c>
      <c r="V70" s="335">
        <f>V69/U69-1</f>
        <v>0.10267595730578982</v>
      </c>
      <c r="W70" s="335">
        <f>W69/V69-1</f>
        <v>0.08699988693529526</v>
      </c>
    </row>
    <row r="71">
      <c r="B71" s="320" t="inlineStr">
        <is>
          <t>% margin</t>
        </is>
      </c>
      <c r="C71" s="72" t="inlineStr">
        <is>
          <t>%</t>
        </is>
      </c>
      <c r="D71" s="335">
        <f>D69/D17</f>
        <v>0.5388407579920813</v>
      </c>
      <c r="E71" s="335">
        <f>E69/E17</f>
        <v>0.5528246717422486</v>
      </c>
      <c r="F71" s="336">
        <f>F69/F17</f>
        <v>0.547199378969859</v>
      </c>
      <c r="G71" s="336">
        <f>G69/G17</f>
        <v>0.5580534159006435</v>
      </c>
      <c r="H71" s="336">
        <f>H69/H17</f>
        <v>0.5798622670452691</v>
      </c>
      <c r="I71" s="336">
        <f>I69/I17</f>
        <v>0.5600067640217854</v>
      </c>
      <c r="J71" s="335">
        <f>J69/J17</f>
        <v>0.5616823139408357</v>
      </c>
      <c r="K71" s="337">
        <f>K69/K17</f>
        <v>0.5623925864563113</v>
      </c>
      <c r="L71" s="336">
        <f>L69/L17</f>
        <v>0.565</v>
      </c>
      <c r="M71" s="336">
        <f>M69/M17</f>
        <v>0.565</v>
      </c>
      <c r="N71" s="336">
        <f>N69/N17</f>
        <v>0.565</v>
      </c>
      <c r="O71" s="335">
        <f>O69/O17</f>
        <v>0.5643573957326389</v>
      </c>
      <c r="P71" s="336">
        <f>P69/P17</f>
        <v>0.5650000000000001</v>
      </c>
      <c r="Q71" s="336">
        <f>Q69/Q17</f>
        <v>0.565</v>
      </c>
      <c r="R71" s="336">
        <f>R69/R17</f>
        <v>0.565</v>
      </c>
      <c r="S71" s="336">
        <f>S69/S17</f>
        <v>0.5650000000000001</v>
      </c>
      <c r="T71" s="335">
        <f>T69/T17</f>
        <v>0.5671957084856785</v>
      </c>
      <c r="U71" s="335">
        <f>U69/U17</f>
        <v>0.5766644597270226</v>
      </c>
      <c r="V71" s="335">
        <f>V69/V17</f>
        <v>0.5853915287313</v>
      </c>
      <c r="W71" s="335">
        <f>W69/W17</f>
        <v>0.5923797371142653</v>
      </c>
    </row>
    <row r="72" ht="5.1" customHeight="1" s="20">
      <c r="B72" s="320" t="n"/>
      <c r="C72" s="72" t="n"/>
    </row>
    <row r="73" outlineLevel="1" s="20">
      <c r="B73" s="75" t="inlineStr">
        <is>
          <t>Cash Flow Items</t>
        </is>
      </c>
      <c r="C73" s="76" t="n"/>
      <c r="D73" s="154" t="n"/>
      <c r="E73" s="154" t="n"/>
      <c r="F73" s="154" t="n"/>
      <c r="G73" s="154" t="n"/>
      <c r="H73" s="154" t="n"/>
      <c r="I73" s="154" t="n"/>
      <c r="J73" s="154" t="n"/>
      <c r="K73" s="155" t="n"/>
      <c r="L73" s="156" t="n"/>
      <c r="M73" s="156" t="n"/>
      <c r="N73" s="156" t="n"/>
      <c r="O73" s="157" t="n"/>
      <c r="P73" s="157" t="n"/>
      <c r="Q73" s="157" t="n"/>
      <c r="R73" s="157" t="n"/>
      <c r="S73" s="157" t="n"/>
      <c r="T73" s="157" t="n"/>
      <c r="U73" s="157" t="n"/>
      <c r="V73" s="157" t="n"/>
      <c r="W73" s="157" t="n"/>
    </row>
    <row r="74" outlineLevel="1" ht="5.1" customHeight="1" s="20">
      <c r="C74" s="72" t="n"/>
    </row>
    <row r="75" outlineLevel="1" s="20">
      <c r="B75" s="298" t="inlineStr">
        <is>
          <t>Current Operating Assets</t>
        </is>
      </c>
      <c r="C75" s="72" t="n"/>
    </row>
    <row r="76" outlineLevel="1" s="20">
      <c r="B76" s="167" t="inlineStr">
        <is>
          <t>Accounts receivable and other current assets</t>
        </is>
      </c>
      <c r="C76" s="72" t="n"/>
      <c r="D76" s="308" t="n">
        <v>202.92458528</v>
      </c>
      <c r="E76" s="308" t="n">
        <v>202.168</v>
      </c>
      <c r="F76" s="181" t="n">
        <v>185.132</v>
      </c>
      <c r="G76" s="181" t="n">
        <v>248.404</v>
      </c>
      <c r="H76" s="181" t="n">
        <v>213.511</v>
      </c>
      <c r="I76" s="181" t="n">
        <v>245.09</v>
      </c>
      <c r="J76" s="308" t="n">
        <v>245.09</v>
      </c>
      <c r="K76" s="269" t="n">
        <v>250.255</v>
      </c>
      <c r="L76" s="342">
        <f>L78*'Revenue Build'!L41</f>
        <v>247.45152942387315</v>
      </c>
      <c r="M76" s="342">
        <f>M78*'Revenue Build'!M41</f>
        <v>255.2202086584112</v>
      </c>
      <c r="N76" s="342">
        <f>N78*'Revenue Build'!N41</f>
        <v>251.92788111845923</v>
      </c>
      <c r="O76" s="342">
        <f>O78*'Revenue Build'!O41</f>
        <v>251.92788111845923</v>
      </c>
      <c r="P76" s="342">
        <f>P78*'Revenue Build'!P41</f>
        <v>252.16563682643655</v>
      </c>
      <c r="Q76" s="342">
        <f>Q78*'Revenue Build'!Q41</f>
        <v>265.7129366446227</v>
      </c>
      <c r="R76" s="342">
        <f>R78*'Revenue Build'!R41</f>
        <v>273.07319447169385</v>
      </c>
      <c r="S76" s="342">
        <f>S78*'Revenue Build'!S41</f>
        <v>269.1938575580552</v>
      </c>
      <c r="T76" s="342">
        <f>T78*'Revenue Build'!T41</f>
        <v>269.19385755805524</v>
      </c>
      <c r="U76" s="342">
        <f>U78*'Revenue Build'!U41</f>
        <v>287.6205607080968</v>
      </c>
      <c r="V76" s="342">
        <f>V78*'Revenue Build'!V41</f>
        <v>304.27430818079756</v>
      </c>
      <c r="W76" s="342">
        <f>W78*'Revenue Build'!W41</f>
        <v>319.7620877847132</v>
      </c>
    </row>
    <row r="77" outlineLevel="1" s="20">
      <c r="B77" s="306" t="inlineStr">
        <is>
          <t>Total Current Assets</t>
        </is>
      </c>
      <c r="C77" s="72" t="n"/>
      <c r="D77" s="195">
        <f>D76</f>
        <v>202.92458528</v>
      </c>
      <c r="E77" s="195">
        <f>E76</f>
        <v>202.168</v>
      </c>
      <c r="F77" s="231">
        <f>F76</f>
        <v>185.132</v>
      </c>
      <c r="G77" s="231">
        <f>G76</f>
        <v>248.404</v>
      </c>
      <c r="H77" s="231">
        <f>H76</f>
        <v>213.511</v>
      </c>
      <c r="I77" s="231">
        <f>I76</f>
        <v>245.09</v>
      </c>
      <c r="J77" s="195">
        <f>J76</f>
        <v>245.09</v>
      </c>
      <c r="K77" s="197">
        <f>K76</f>
        <v>250.255</v>
      </c>
      <c r="L77" s="343">
        <f>L76</f>
        <v>247.45152942387315</v>
      </c>
      <c r="M77" s="343">
        <f>M76</f>
        <v>255.2202086584112</v>
      </c>
      <c r="N77" s="343">
        <f>N76</f>
        <v>251.92788111845923</v>
      </c>
      <c r="O77" s="343">
        <f>O76</f>
        <v>251.92788111845923</v>
      </c>
      <c r="P77" s="343">
        <f>P76</f>
        <v>252.16563682643655</v>
      </c>
      <c r="Q77" s="343">
        <f>Q76</f>
        <v>265.7129366446227</v>
      </c>
      <c r="R77" s="343">
        <f>R76</f>
        <v>273.07319447169385</v>
      </c>
      <c r="S77" s="343">
        <f>S76</f>
        <v>269.1938575580552</v>
      </c>
      <c r="T77" s="343">
        <f>T76</f>
        <v>269.19385755805524</v>
      </c>
      <c r="U77" s="343">
        <f>U76</f>
        <v>287.6205607080968</v>
      </c>
      <c r="V77" s="343">
        <f>V76</f>
        <v>304.27430818079756</v>
      </c>
      <c r="W77" s="343">
        <f>W76</f>
        <v>319.7620877847132</v>
      </c>
    </row>
    <row r="78" outlineLevel="1" ht="5.1" customHeight="1" s="20">
      <c r="B78" s="167" t="inlineStr">
        <is>
          <t>Accounts receivable - % of Net Earning Assets</t>
        </is>
      </c>
      <c r="C78" s="72" t="inlineStr">
        <is>
          <t>%</t>
        </is>
      </c>
      <c r="E78" s="344">
        <f>E76/'Revenue Build'!E41</f>
        <v>0.02730625831000724</v>
      </c>
      <c r="F78" s="344">
        <f>F76/'Revenue Build'!F41</f>
        <v>0.02443438113764817</v>
      </c>
      <c r="G78" s="344">
        <f>G76/'Revenue Build'!G41</f>
        <v>0.0299636979481108</v>
      </c>
      <c r="H78" s="344">
        <f>H76/'Revenue Build'!H41</f>
        <v>0.0242889892706216</v>
      </c>
      <c r="I78" s="344">
        <f>I76/'Revenue Build'!I41</f>
        <v>0.02767746967691475</v>
      </c>
      <c r="J78" s="344">
        <f>J76/'Revenue Build'!J41</f>
        <v>0.02767746967691475</v>
      </c>
      <c r="K78" s="344">
        <f>K76/'Revenue Build'!K41</f>
        <v>0.029652819520964567</v>
      </c>
      <c r="L78" s="345">
        <f>$J$78</f>
        <v>0.02767746967691475</v>
      </c>
      <c r="M78" s="345">
        <f>L78</f>
        <v>0.02767746967691475</v>
      </c>
      <c r="N78" s="345">
        <f>M78</f>
        <v>0.02767746967691475</v>
      </c>
      <c r="O78" s="345">
        <f>N78</f>
        <v>0.02767746967691475</v>
      </c>
      <c r="P78" s="345">
        <f>O78</f>
        <v>0.02767746967691475</v>
      </c>
      <c r="Q78" s="345">
        <f>P78</f>
        <v>0.02767746967691475</v>
      </c>
      <c r="R78" s="345">
        <f>Q78</f>
        <v>0.02767746967691475</v>
      </c>
      <c r="S78" s="345">
        <f>R78</f>
        <v>0.02767746967691475</v>
      </c>
      <c r="T78" s="345">
        <f>S78</f>
        <v>0.02767746967691475</v>
      </c>
      <c r="U78" s="345">
        <f>T78</f>
        <v>0.02767746967691475</v>
      </c>
      <c r="V78" s="345">
        <f>U78</f>
        <v>0.02767746967691475</v>
      </c>
      <c r="W78" s="345">
        <f>V78</f>
        <v>0.02767746967691475</v>
      </c>
    </row>
    <row r="79" outlineLevel="1" s="20">
      <c r="B79" s="298" t="inlineStr">
        <is>
          <t>Current Operating Liabilities</t>
        </is>
      </c>
      <c r="C79" s="72" t="n"/>
      <c r="L79" s="329" t="n"/>
      <c r="M79" s="329" t="n"/>
      <c r="N79" s="329" t="n"/>
      <c r="O79" s="329" t="n"/>
      <c r="P79" s="329" t="n"/>
      <c r="Q79" s="329" t="n"/>
      <c r="R79" s="329" t="n"/>
      <c r="S79" s="329" t="n"/>
      <c r="T79" s="329" t="n"/>
      <c r="U79" s="329" t="n"/>
      <c r="V79" s="329" t="n"/>
      <c r="W79" s="329" t="n"/>
    </row>
    <row r="80" outlineLevel="1" s="20">
      <c r="B80" s="167" t="inlineStr">
        <is>
          <t>Accounts payable and accrued liabilities</t>
        </is>
      </c>
      <c r="C80" s="72" t="n"/>
      <c r="D80" s="308" t="n">
        <v>1208.25841792</v>
      </c>
      <c r="E80" s="308" t="n">
        <v>1338.188</v>
      </c>
      <c r="F80" s="181" t="n">
        <v>1228.332</v>
      </c>
      <c r="G80" s="181" t="n">
        <v>1362.461</v>
      </c>
      <c r="H80" s="181" t="n">
        <v>1476.949</v>
      </c>
      <c r="I80" s="181" t="n">
        <v>1249.173</v>
      </c>
      <c r="J80" s="308" t="n">
        <v>1249.173</v>
      </c>
      <c r="K80" s="269" t="n">
        <v>1102.559</v>
      </c>
      <c r="L80" s="342">
        <f>L82*'Revenue Build'!L41</f>
        <v>1261.209226671867</v>
      </c>
      <c r="M80" s="342">
        <f>M82*'Revenue Build'!M41</f>
        <v>1300.8045767287667</v>
      </c>
      <c r="N80" s="342">
        <f>N82*'Revenue Build'!N41</f>
        <v>1284.0242647206703</v>
      </c>
      <c r="O80" s="342">
        <f>O82*'Revenue Build'!O41</f>
        <v>1284.0242647206703</v>
      </c>
      <c r="P80" s="342">
        <f>P82*'Revenue Build'!P41</f>
        <v>1285.2360563523205</v>
      </c>
      <c r="Q80" s="342">
        <f>Q82*'Revenue Build'!Q41</f>
        <v>1354.2838394352004</v>
      </c>
      <c r="R80" s="342">
        <f>R82*'Revenue Build'!R41</f>
        <v>1391.7975501154237</v>
      </c>
      <c r="S80" s="342">
        <f>S82*'Revenue Build'!S41</f>
        <v>1372.0253728318924</v>
      </c>
      <c r="T80" s="342">
        <f>T82*'Revenue Build'!T41</f>
        <v>1372.0253728318926</v>
      </c>
      <c r="U80" s="342">
        <f>U82*'Revenue Build'!U41</f>
        <v>1465.942464733018</v>
      </c>
      <c r="V80" s="342">
        <f>V82*'Revenue Build'!V41</f>
        <v>1550.8231685223036</v>
      </c>
      <c r="W80" s="342">
        <f>W82*'Revenue Build'!W41</f>
        <v>1629.7611754224713</v>
      </c>
    </row>
    <row r="81" outlineLevel="1" s="20">
      <c r="B81" s="306" t="inlineStr">
        <is>
          <t>Total Current Liabilities</t>
        </is>
      </c>
      <c r="C81" s="72" t="n"/>
      <c r="D81" s="195">
        <f>D80</f>
        <v>1208.2584179199998</v>
      </c>
      <c r="E81" s="195">
        <f>E80</f>
        <v>1338.188</v>
      </c>
      <c r="F81" s="231">
        <f>F80</f>
        <v>1228.332</v>
      </c>
      <c r="G81" s="231">
        <f>G80</f>
        <v>1362.461</v>
      </c>
      <c r="H81" s="231">
        <f>H80</f>
        <v>1476.949</v>
      </c>
      <c r="I81" s="231">
        <f>I80</f>
        <v>1249.173</v>
      </c>
      <c r="J81" s="195">
        <f>J80</f>
        <v>1249.173</v>
      </c>
      <c r="K81" s="197">
        <f>K80</f>
        <v>1102.559</v>
      </c>
      <c r="L81" s="343">
        <f>L80</f>
        <v>1261.209226671867</v>
      </c>
      <c r="M81" s="343">
        <f>M80</f>
        <v>1300.8045767287667</v>
      </c>
      <c r="N81" s="343">
        <f>N80</f>
        <v>1284.0242647206703</v>
      </c>
      <c r="O81" s="343">
        <f>O80</f>
        <v>1284.0242647206703</v>
      </c>
      <c r="P81" s="343">
        <f>P80</f>
        <v>1285.2360563523205</v>
      </c>
      <c r="Q81" s="343">
        <f>Q80</f>
        <v>1354.2838394352004</v>
      </c>
      <c r="R81" s="343">
        <f>R80</f>
        <v>1391.7975501154237</v>
      </c>
      <c r="S81" s="343">
        <f>S80</f>
        <v>1372.0253728318924</v>
      </c>
      <c r="T81" s="343">
        <f>T80</f>
        <v>1372.0253728318926</v>
      </c>
      <c r="U81" s="343">
        <f>U80</f>
        <v>1465.942464733018</v>
      </c>
      <c r="V81" s="343">
        <f>V80</f>
        <v>1550.8231685223036</v>
      </c>
      <c r="W81" s="343">
        <f>W80</f>
        <v>1629.7611754224713</v>
      </c>
    </row>
    <row r="82" outlineLevel="1" s="20">
      <c r="B82" s="167" t="inlineStr">
        <is>
          <t>Accounts payable - % of Net Earning Assets</t>
        </is>
      </c>
      <c r="C82" s="2" t="inlineStr">
        <is>
          <t>%</t>
        </is>
      </c>
      <c r="E82" s="344">
        <f>E80/'Revenue Build'!E41</f>
        <v>0.18074525738668815</v>
      </c>
      <c r="F82" s="344">
        <f>F80/'Revenue Build'!F41</f>
        <v>0.16211963491762446</v>
      </c>
      <c r="G82" s="344">
        <f>G80/'Revenue Build'!G41</f>
        <v>0.16434666861274774</v>
      </c>
      <c r="H82" s="344">
        <f>H80/'Revenue Build'!H41</f>
        <v>0.1680175654381053</v>
      </c>
      <c r="I82" s="344">
        <f>I80/'Revenue Build'!I41</f>
        <v>0.1410663341169392</v>
      </c>
      <c r="J82" s="344">
        <f>J80/'Revenue Build'!J41</f>
        <v>0.1410663341169392</v>
      </c>
      <c r="K82" s="344">
        <f>K80/'Revenue Build'!K41</f>
        <v>0.13064267662270554</v>
      </c>
      <c r="L82" s="345">
        <f>$J$82</f>
        <v>0.1410663341169392</v>
      </c>
      <c r="M82" s="345">
        <f>L82</f>
        <v>0.1410663341169392</v>
      </c>
      <c r="N82" s="345">
        <f>M82</f>
        <v>0.1410663341169392</v>
      </c>
      <c r="O82" s="345">
        <f>N82</f>
        <v>0.1410663341169392</v>
      </c>
      <c r="P82" s="345">
        <f>O82</f>
        <v>0.1410663341169392</v>
      </c>
      <c r="Q82" s="345">
        <f>P82</f>
        <v>0.1410663341169392</v>
      </c>
      <c r="R82" s="345">
        <f>Q82</f>
        <v>0.1410663341169392</v>
      </c>
      <c r="S82" s="345">
        <f>R82</f>
        <v>0.1410663341169392</v>
      </c>
      <c r="T82" s="345">
        <f>S82</f>
        <v>0.1410663341169392</v>
      </c>
      <c r="U82" s="345">
        <f>T82</f>
        <v>0.1410663341169392</v>
      </c>
      <c r="V82" s="345">
        <f>U82</f>
        <v>0.1410663341169392</v>
      </c>
      <c r="W82" s="345">
        <f>V82</f>
        <v>0.1410663341169392</v>
      </c>
    </row>
    <row r="83" outlineLevel="1" s="20">
      <c r="B83" s="307" t="inlineStr">
        <is>
          <t>Net Working Capital</t>
        </is>
      </c>
      <c r="D83" s="141">
        <f>D76-D80</f>
        <v>-1005.3338326399999</v>
      </c>
      <c r="E83" s="141">
        <f>E76-E80</f>
        <v>-1136.02</v>
      </c>
      <c r="F83" s="330">
        <f>F76-F80</f>
        <v>-1043.2</v>
      </c>
      <c r="G83" s="330">
        <f>G76-G80</f>
        <v>-1114.057</v>
      </c>
      <c r="H83" s="330">
        <f>H76-H80</f>
        <v>-1263.438</v>
      </c>
      <c r="I83" s="330">
        <f>I76-I80</f>
        <v>-1004.083</v>
      </c>
      <c r="J83" s="141">
        <f>J76-J80</f>
        <v>-1004.083</v>
      </c>
      <c r="K83" s="143">
        <f>K76-K80</f>
        <v>-852.304</v>
      </c>
      <c r="L83" s="346">
        <f>L76-L80</f>
        <v>-1013.757697247994</v>
      </c>
      <c r="M83" s="346">
        <f>M76-M80</f>
        <v>-1045.5843680703556</v>
      </c>
      <c r="N83" s="346">
        <f>N76-N80</f>
        <v>-1032.096383602211</v>
      </c>
      <c r="O83" s="346">
        <f>O76-O80</f>
        <v>-1032.096383602211</v>
      </c>
      <c r="P83" s="346">
        <f>P76-P80</f>
        <v>-1033.0704195258838</v>
      </c>
      <c r="Q83" s="346">
        <f>Q76-Q80</f>
        <v>-1088.5709027905777</v>
      </c>
      <c r="R83" s="346">
        <f>R76-R80</f>
        <v>-1118.72435564373</v>
      </c>
      <c r="S83" s="346">
        <f>S76-S80</f>
        <v>-1102.831515273837</v>
      </c>
      <c r="T83" s="346">
        <f>T76-T80</f>
        <v>-1102.8315152738373</v>
      </c>
      <c r="U83" s="346">
        <f>U76-U80</f>
        <v>-1178.3219040249212</v>
      </c>
      <c r="V83" s="346">
        <f>V76-V80</f>
        <v>-1246.548860341506</v>
      </c>
      <c r="W83" s="346">
        <f>W76-W80</f>
        <v>-1309.999087637758</v>
      </c>
    </row>
    <row r="84" outlineLevel="1" s="20">
      <c r="B84" s="320" t="inlineStr">
        <is>
          <t>% sales</t>
        </is>
      </c>
      <c r="D84" s="335">
        <f>-D83/D13</f>
        <v>2.0009359461759364</v>
      </c>
      <c r="E84" s="335">
        <f>-E83/E13</f>
        <v>1.9075460926218224</v>
      </c>
      <c r="F84" s="336" t="n"/>
      <c r="G84" s="336" t="n"/>
      <c r="H84" s="336" t="n"/>
      <c r="I84" s="336" t="n"/>
      <c r="J84" s="335">
        <f>-J83/J13</f>
        <v>1.6120731730812454</v>
      </c>
      <c r="K84" s="337" t="n"/>
      <c r="L84" s="336" t="n"/>
      <c r="M84" s="336" t="n"/>
      <c r="N84" s="336" t="n"/>
      <c r="O84" s="335">
        <f>-O83/O13</f>
        <v>1.5154039015569167</v>
      </c>
      <c r="P84" s="336" t="n"/>
      <c r="Q84" s="336" t="n"/>
      <c r="R84" s="336" t="n"/>
      <c r="S84" s="336" t="n"/>
      <c r="T84" s="335">
        <f>-T83/T13</f>
        <v>1.458882306280151</v>
      </c>
      <c r="U84" s="335">
        <f>-U83/U13</f>
        <v>1.4006026855559928</v>
      </c>
      <c r="V84" s="335">
        <f>-V83/V13</f>
        <v>1.3446874504098891</v>
      </c>
      <c r="W84" s="335">
        <f>-W83/W13</f>
        <v>1.2953625691013972</v>
      </c>
    </row>
    <row r="85" outlineLevel="1" ht="5.1" customHeight="1" s="20">
      <c r="B85" s="253" t="n"/>
      <c r="C85" s="251" t="n"/>
      <c r="D85" s="254" t="n"/>
      <c r="E85" s="254" t="n"/>
      <c r="F85" s="266" t="n"/>
      <c r="G85" s="266" t="n"/>
      <c r="H85" s="266" t="n"/>
      <c r="I85" s="266" t="n"/>
      <c r="J85" s="254" t="n"/>
      <c r="K85" s="270" t="n"/>
      <c r="L85" s="266" t="n"/>
      <c r="M85" s="266" t="n"/>
      <c r="N85" s="266" t="n"/>
      <c r="O85" s="254" t="n"/>
      <c r="P85" s="266" t="n"/>
      <c r="Q85" s="266" t="n"/>
      <c r="R85" s="266" t="n"/>
      <c r="S85" s="266" t="n"/>
      <c r="T85" s="254" t="n"/>
      <c r="U85" s="254" t="n"/>
      <c r="V85" s="254" t="n"/>
      <c r="W85" s="254" t="n"/>
    </row>
    <row r="86" outlineLevel="1" ht="5.1" customHeight="1" s="20"/>
    <row r="87" outlineLevel="1" customFormat="1" s="307">
      <c r="A87" s="305" t="n"/>
      <c r="B87" s="306" t="inlineStr">
        <is>
          <t>Change in Net working Capital</t>
        </is>
      </c>
      <c r="C87" s="306" t="n"/>
      <c r="D87" s="195" t="n">
        <v>0</v>
      </c>
      <c r="E87" s="195">
        <f>E83-D83</f>
        <v>-130.68616736000013</v>
      </c>
      <c r="F87" s="231">
        <f>F83-E83</f>
        <v>92.81999999999994</v>
      </c>
      <c r="G87" s="231">
        <f>G83-F83</f>
        <v>-70.85699999999997</v>
      </c>
      <c r="H87" s="231">
        <f>H83-G83</f>
        <v>-149.38100000000009</v>
      </c>
      <c r="I87" s="231">
        <f>I83-H83</f>
        <v>259.35500000000013</v>
      </c>
      <c r="J87" s="195">
        <f>J83-E83</f>
        <v>131.937</v>
      </c>
      <c r="K87" s="197">
        <f>K83-J83</f>
        <v>151.779</v>
      </c>
      <c r="L87" s="197">
        <f>L83-K83</f>
        <v>-161.453697247994</v>
      </c>
      <c r="M87" s="197">
        <f>M83-L83</f>
        <v>-31.82667082236162</v>
      </c>
      <c r="N87" s="197">
        <f>N83-M83</f>
        <v>13.487984468144532</v>
      </c>
      <c r="O87" s="197">
        <f>O83-J83</f>
        <v>-28.013383602211093</v>
      </c>
      <c r="P87" s="197">
        <f>P83-O83</f>
        <v>-0.9740359236727727</v>
      </c>
      <c r="Q87" s="197">
        <f>Q83-P83</f>
        <v>-55.50048326469391</v>
      </c>
      <c r="R87" s="197">
        <f>R83-Q83</f>
        <v>-30.153452853152203</v>
      </c>
      <c r="S87" s="197">
        <f>S83-R83</f>
        <v>15.892840369892838</v>
      </c>
      <c r="T87" s="197">
        <f>T83-O83</f>
        <v>-70.73513167162628</v>
      </c>
      <c r="U87" s="197">
        <f>U83-T83</f>
        <v>-75.49038875108386</v>
      </c>
      <c r="V87" s="197">
        <f>V83-U83</f>
        <v>-68.22695631658485</v>
      </c>
      <c r="W87" s="197">
        <f>W83-V83</f>
        <v>-63.450227296252024</v>
      </c>
      <c r="X87" s="330" t="n"/>
      <c r="Y87" s="330" t="n"/>
      <c r="Z87" s="330" t="n"/>
    </row>
    <row r="88" outlineLevel="1" s="20"/>
    <row r="89" outlineLevel="1" s="20">
      <c r="B89" s="89" t="inlineStr">
        <is>
          <t>Capital Expenditures</t>
        </is>
      </c>
      <c r="C89" s="301" t="n"/>
      <c r="D89" s="303" t="n"/>
      <c r="E89" s="303" t="n"/>
      <c r="F89" s="303" t="n"/>
      <c r="G89" s="303" t="n"/>
      <c r="H89" s="303" t="n"/>
      <c r="I89" s="303" t="n"/>
      <c r="J89" s="303" t="n"/>
      <c r="K89" s="304" t="n"/>
      <c r="L89" s="303" t="n"/>
      <c r="M89" s="303" t="n"/>
      <c r="N89" s="303" t="n"/>
      <c r="O89" s="238" t="n">
        <v>80</v>
      </c>
      <c r="P89" s="238" t="n"/>
      <c r="Q89" s="238" t="n"/>
      <c r="R89" s="238" t="n"/>
      <c r="S89" s="238" t="n"/>
      <c r="T89" s="238" t="n">
        <v>80</v>
      </c>
      <c r="U89" s="238">
        <f>T89</f>
        <v>80.0</v>
      </c>
      <c r="V89" s="238" t="n">
        <v>80</v>
      </c>
      <c r="W89" s="239" t="n">
        <v>80</v>
      </c>
    </row>
    <row r="90" outlineLevel="1" s="20">
      <c r="B90" s="137" t="inlineStr">
        <is>
          <t>% y/y change</t>
        </is>
      </c>
      <c r="C90" s="302" t="n"/>
      <c r="D90" s="347" t="n"/>
      <c r="E90" s="347" t="n"/>
      <c r="F90" s="347" t="n"/>
      <c r="G90" s="347" t="n"/>
      <c r="H90" s="347" t="n"/>
      <c r="I90" s="347" t="n"/>
      <c r="J90" s="347" t="n"/>
      <c r="K90" s="348" t="n"/>
      <c r="L90" s="347" t="n"/>
      <c r="M90" s="347" t="n"/>
      <c r="N90" s="347" t="n"/>
      <c r="O90" s="347" t="n"/>
      <c r="P90" s="347" t="n"/>
      <c r="Q90" s="347" t="n"/>
      <c r="R90" s="347" t="n"/>
      <c r="S90" s="347" t="n"/>
      <c r="T90" s="349">
        <f>T89/O89-1</f>
        <v>0.0</v>
      </c>
      <c r="U90" s="349">
        <f>U89/T89-1</f>
        <v>0.0</v>
      </c>
      <c r="V90" s="349">
        <f>V89/U89-1</f>
        <v>0.0</v>
      </c>
      <c r="W90" s="350">
        <f>W89/V89-1</f>
        <v>0.0</v>
      </c>
    </row>
    <row r="91" outlineLevel="1" customFormat="1" s="307">
      <c r="A91" s="305" t="n"/>
      <c r="B91" s="324" t="n"/>
      <c r="C91" s="307" t="n"/>
      <c r="D91" s="351" t="n"/>
      <c r="E91" s="351" t="n"/>
      <c r="F91" s="351" t="n"/>
      <c r="G91" s="351" t="n"/>
      <c r="H91" s="351" t="n"/>
      <c r="I91" s="351" t="n"/>
      <c r="J91" s="351" t="n"/>
      <c r="K91" s="352" t="n"/>
      <c r="L91" s="351" t="n"/>
      <c r="M91" s="351" t="n"/>
      <c r="N91" s="351" t="n"/>
      <c r="O91" s="351" t="n"/>
      <c r="P91" s="351" t="n"/>
      <c r="Q91" s="351" t="n"/>
      <c r="R91" s="351" t="n"/>
      <c r="S91" s="351" t="n"/>
      <c r="T91" s="351" t="n"/>
      <c r="U91" s="351" t="n"/>
      <c r="V91" s="351" t="n"/>
      <c r="W91" s="352" t="n"/>
      <c r="X91" s="330" t="n"/>
      <c r="Y91" s="330" t="n"/>
      <c r="Z91" s="330" t="n"/>
    </row>
    <row r="92" outlineLevel="1" s="20">
      <c r="A92" s="305" t="inlineStr">
        <is>
          <t>x</t>
        </is>
      </c>
      <c r="B92" s="89" t="inlineStr">
        <is>
          <t>Adjusted Net Income</t>
        </is>
      </c>
      <c r="C92" s="301" t="n"/>
      <c r="D92" s="303">
        <f>D69*(1-D53)</f>
        <v>397.63569105234967</v>
      </c>
      <c r="E92" s="303">
        <f>E69*(1-E53)</f>
        <v>453.22793479594264</v>
      </c>
      <c r="F92" s="303">
        <f>F69*(1-F53)</f>
        <v>113.02112353540316</v>
      </c>
      <c r="G92" s="303">
        <f>G69*(1-G53)</f>
        <v>126.7789271523179</v>
      </c>
      <c r="H92" s="303">
        <f>H69*(1-H53)</f>
        <v>139.3502483214751</v>
      </c>
      <c r="I92" s="303">
        <f>I69*(1-0.245)</f>
        <v>132.51684500000002</v>
      </c>
      <c r="J92" s="303">
        <f>SUM(F92:I92)</f>
        <v>511.66714400919614</v>
      </c>
      <c r="K92" s="304">
        <f>K69*(1-K53)</f>
        <v>137.3908289230613</v>
      </c>
      <c r="L92" s="303">
        <f>L69*(1-L53)</f>
        <v>133.38911744740554</v>
      </c>
      <c r="M92" s="303">
        <f>M69*(1-M53)</f>
        <v>143.32856366513965</v>
      </c>
      <c r="N92" s="303">
        <f>N69*(1-N53)</f>
        <v>145.23908801265443</v>
      </c>
      <c r="O92" s="303">
        <f>SUM(K92:N92)</f>
        <v>559.3475980482609</v>
      </c>
      <c r="P92" s="303">
        <f>P69*(1-P53)</f>
        <v>137.41643729280057</v>
      </c>
      <c r="Q92" s="303">
        <f>Q69*(1-Q53)</f>
        <v>146.5973404376985</v>
      </c>
      <c r="R92" s="303">
        <f>R69*(1-R53)</f>
        <v>156.8729731169226</v>
      </c>
      <c r="S92" s="303">
        <f>S69*(1-S53)</f>
        <v>157.58849496916272</v>
      </c>
      <c r="T92" s="303">
        <f>SUM(P92:S92)</f>
        <v>598.4752458165844</v>
      </c>
      <c r="U92" s="303">
        <f>U69*(1-U53)</f>
        <v>666.8122722410527</v>
      </c>
      <c r="V92" s="303">
        <f>V69*(1-V53)</f>
        <v>735.2778606366517</v>
      </c>
      <c r="W92" s="304">
        <f>W69*(1-W53)</f>
        <v>799.2469513780662</v>
      </c>
    </row>
    <row r="93" outlineLevel="1" s="20">
      <c r="B93" s="137" t="inlineStr">
        <is>
          <t>% y/y change</t>
        </is>
      </c>
      <c r="C93" s="302" t="n"/>
      <c r="D93" s="347" t="n">
        <v>0</v>
      </c>
      <c r="E93" s="347">
        <f>E92/D92-1</f>
        <v>0.1398069765731218</v>
      </c>
      <c r="F93" s="347" t="n">
        <v>0</v>
      </c>
      <c r="G93" s="347" t="n">
        <v>0</v>
      </c>
      <c r="H93" s="347" t="n">
        <v>0</v>
      </c>
      <c r="I93" s="347" t="n">
        <v>0</v>
      </c>
      <c r="J93" s="347">
        <f>J92/E92-1</f>
        <v>0.12893999845698967</v>
      </c>
      <c r="K93" s="348">
        <f>K92/F92-1</f>
        <v>0.2156208027787343</v>
      </c>
      <c r="L93" s="347">
        <f>L92/G92-1</f>
        <v>0.05213950333517059</v>
      </c>
      <c r="M93" s="347">
        <f>M92/H92-1</f>
        <v>0.028549036629534674</v>
      </c>
      <c r="N93" s="347">
        <f>N92/I92-1</f>
        <v>0.09600472311768682</v>
      </c>
      <c r="O93" s="347">
        <f>O92/J92-1</f>
        <v>0.09318646818996812</v>
      </c>
      <c r="P93" s="347">
        <f>P92/K92-1</f>
        <v>0.00018639067789316677</v>
      </c>
      <c r="Q93" s="347">
        <f>Q92/L92-1</f>
        <v>0.09902024425269085</v>
      </c>
      <c r="R93" s="347">
        <f>R92/M92-1</f>
        <v>0.0944990245170314</v>
      </c>
      <c r="S93" s="347">
        <f>S92/N92-1</f>
        <v>0.08502812242550228</v>
      </c>
      <c r="T93" s="347">
        <f>T92/O92-1</f>
        <v>0.06995229425289784</v>
      </c>
      <c r="U93" s="347">
        <f>U92/T92-1</f>
        <v>0.11418521802221981</v>
      </c>
      <c r="V93" s="347">
        <f>V92/U92-1</f>
        <v>0.10267595730578982</v>
      </c>
      <c r="W93" s="348">
        <f>W92/V92-1</f>
        <v>0.08699988693529548</v>
      </c>
    </row>
    <row r="94" outlineLevel="1" s="20">
      <c r="B94" s="89" t="inlineStr">
        <is>
          <t>Free Cash Flow</t>
        </is>
      </c>
      <c r="C94" s="307" t="inlineStr">
        <is>
          <t>$</t>
        </is>
      </c>
      <c r="D94" s="351" t="n"/>
      <c r="E94" s="351" t="n"/>
      <c r="F94" s="351" t="n"/>
      <c r="G94" s="351" t="n"/>
      <c r="H94" s="351" t="n"/>
      <c r="I94" s="351" t="n"/>
      <c r="J94" s="351" t="n"/>
      <c r="K94" s="352" t="n"/>
      <c r="L94" s="351" t="n"/>
      <c r="M94" s="351" t="n"/>
      <c r="N94" s="351" t="n"/>
      <c r="O94" s="197">
        <f>O55+O26+O39+O32+O29-O87-O89</f>
        <v>593.4763151699973</v>
      </c>
      <c r="P94" s="351" t="n"/>
      <c r="Q94" s="351" t="n"/>
      <c r="R94" s="351" t="n"/>
      <c r="S94" s="351" t="n"/>
      <c r="T94" s="197">
        <f>T55+T26+T39+T32+T29-T87-T89</f>
        <v>695.0768177351315</v>
      </c>
      <c r="U94" s="197">
        <f>U55+U26+U39+U32+U29-U87-U89</f>
        <v>769.557509745625</v>
      </c>
      <c r="V94" s="197">
        <f>V55+V26+V39+V32+V29-V87-V89</f>
        <v>840.0090199037589</v>
      </c>
      <c r="W94" s="197">
        <f>W55+W26+W39+W32+W29-W87-W89</f>
        <v>907.8432817646716</v>
      </c>
    </row>
    <row r="95" outlineLevel="1" s="20">
      <c r="B95" s="89" t="inlineStr">
        <is>
          <t>FCF per Share</t>
        </is>
      </c>
      <c r="C95" s="307" t="inlineStr">
        <is>
          <t>$</t>
        </is>
      </c>
      <c r="D95" s="351" t="n"/>
      <c r="E95" s="351" t="n"/>
      <c r="F95" s="351" t="n"/>
      <c r="G95" s="351" t="n"/>
      <c r="H95" s="351" t="n"/>
      <c r="I95" s="351" t="n"/>
      <c r="J95" s="351" t="n"/>
      <c r="K95" s="352" t="n"/>
      <c r="L95" s="351" t="n"/>
      <c r="M95" s="351" t="n"/>
      <c r="N95" s="351" t="n"/>
      <c r="O95" s="197">
        <f>O94/O100</f>
        <v>1.4926632258405288</v>
      </c>
      <c r="P95" s="351" t="n"/>
      <c r="Q95" s="351" t="n"/>
      <c r="R95" s="351" t="n"/>
      <c r="S95" s="351" t="n"/>
      <c r="T95" s="197">
        <f>T94/T100</f>
        <v>1.7486223354020698</v>
      </c>
      <c r="U95" s="197">
        <f>U94/U100</f>
        <v>1.935610026081336</v>
      </c>
      <c r="V95" s="197">
        <f>V94/V100</f>
        <v>2.1128114017910353</v>
      </c>
      <c r="W95" s="197">
        <f>W94/W100</f>
        <v>2.283429810041265</v>
      </c>
    </row>
    <row r="96" outlineLevel="1" s="20">
      <c r="B96" s="89" t="inlineStr">
        <is>
          <t>FCF Margin</t>
        </is>
      </c>
      <c r="C96" s="307" t="inlineStr">
        <is>
          <t>%</t>
        </is>
      </c>
      <c r="D96" s="351" t="n"/>
      <c r="E96" s="351" t="n"/>
      <c r="F96" s="351" t="n"/>
      <c r="G96" s="351" t="n"/>
      <c r="H96" s="351" t="n"/>
      <c r="I96" s="351" t="n"/>
      <c r="J96" s="351" t="n"/>
      <c r="K96" s="352" t="n"/>
      <c r="L96" s="351" t="n"/>
      <c r="M96" s="351" t="n"/>
      <c r="N96" s="351" t="n"/>
      <c r="O96" s="353">
        <f>O94/O17</f>
        <v>0.45210708763780955</v>
      </c>
      <c r="P96" s="351" t="n"/>
      <c r="Q96" s="351" t="n"/>
      <c r="R96" s="351" t="n"/>
      <c r="S96" s="351" t="n"/>
      <c r="T96" s="353">
        <f>T94/T17</f>
        <v>0.49292893634558277</v>
      </c>
      <c r="U96" s="353">
        <f>U94/U17</f>
        <v>0.5024671042595343</v>
      </c>
      <c r="V96" s="353">
        <f>V94/V17</f>
        <v>0.5049238035431176</v>
      </c>
      <c r="W96" s="353">
        <f>W94/W17</f>
        <v>0.5080155921363421</v>
      </c>
    </row>
    <row r="97" ht="14.45" customHeight="1" s="20">
      <c r="B97" s="320" t="n"/>
    </row>
    <row r="98">
      <c r="B98" s="307" t="inlineStr">
        <is>
          <t>Shares Outstanding - WAB</t>
        </is>
      </c>
      <c r="D98" s="189" t="n">
        <v>390.297255</v>
      </c>
      <c r="E98" s="308" t="n">
        <v>396.87991</v>
      </c>
      <c r="F98" s="181" t="n">
        <v>403.502345</v>
      </c>
      <c r="G98" s="181" t="n">
        <v>401.667937</v>
      </c>
      <c r="H98" s="181" t="n">
        <v>401.029101</v>
      </c>
      <c r="I98" s="181" t="n">
        <v>399.883</v>
      </c>
      <c r="J98" s="308" t="n">
        <v>401.509276</v>
      </c>
      <c r="K98" s="269" t="n">
        <v>398.123105</v>
      </c>
      <c r="L98" s="181" t="n">
        <v>397.0838532</v>
      </c>
      <c r="M98" s="181" t="n">
        <v>397.12356158532</v>
      </c>
      <c r="N98" s="181" t="n">
        <v>397.1632739414786</v>
      </c>
      <c r="O98" s="308" t="n">
        <v>397.3701341360697</v>
      </c>
      <c r="P98" s="181" t="n">
        <v>397.2029902688727</v>
      </c>
      <c r="Q98" s="181" t="n">
        <v>397.2427105678996</v>
      </c>
      <c r="R98" s="181" t="n">
        <v>397.2824348389563</v>
      </c>
      <c r="S98" s="181" t="n">
        <v>397.3221630824402</v>
      </c>
      <c r="T98" s="308" t="n">
        <v>397.2629556017696</v>
      </c>
      <c r="U98" s="308" t="n">
        <v>397.3420281973386</v>
      </c>
      <c r="V98" s="308" t="n">
        <v>397.3420281973386</v>
      </c>
      <c r="W98" s="308" t="n">
        <v>397.3420281973386</v>
      </c>
    </row>
    <row r="99" customFormat="1" s="307">
      <c r="A99" s="305" t="n"/>
      <c r="B99" s="167" t="inlineStr">
        <is>
          <t>Share Buybacks</t>
        </is>
      </c>
      <c r="C99" s="307" t="n"/>
      <c r="D99" s="335" t="n"/>
      <c r="E99" s="335" t="n"/>
      <c r="F99" s="336" t="n"/>
      <c r="G99" s="336" t="n"/>
      <c r="H99" s="336" t="n"/>
      <c r="I99" s="336" t="n"/>
      <c r="J99" s="335" t="n"/>
      <c r="K99" s="336" t="n"/>
      <c r="L99" s="338" t="n"/>
      <c r="M99" s="336" t="n"/>
      <c r="N99" s="336" t="n"/>
      <c r="O99" s="335" t="n">
        <v>2</v>
      </c>
      <c r="P99" s="336" t="n"/>
      <c r="Q99" s="336" t="n"/>
      <c r="R99" s="336" t="n"/>
      <c r="S99" s="336" t="n"/>
      <c r="T99" s="335" t="n"/>
      <c r="U99" s="335" t="n"/>
      <c r="V99" s="335" t="n"/>
      <c r="W99" s="335" t="n"/>
      <c r="X99" s="330" t="n"/>
      <c r="Y99" s="330" t="n"/>
      <c r="Z99" s="330" t="n"/>
    </row>
    <row r="100">
      <c r="B100" s="307" t="inlineStr">
        <is>
          <t>Shares Outstanding - WAD</t>
        </is>
      </c>
      <c r="D100" s="189" t="n">
        <v>405.241943</v>
      </c>
      <c r="E100" s="308" t="n">
        <v>404.164463</v>
      </c>
      <c r="F100" s="181" t="n">
        <v>403.685684</v>
      </c>
      <c r="G100" s="181" t="n">
        <v>401.881106</v>
      </c>
      <c r="H100" s="181" t="n">
        <v>401.267009</v>
      </c>
      <c r="I100" s="181" t="n">
        <v>399.883</v>
      </c>
      <c r="J100" s="308" t="n">
        <v>401.69051</v>
      </c>
      <c r="K100" s="269" t="n">
        <v>398.280164</v>
      </c>
      <c r="L100" s="181" t="n">
        <v>397.2806971578966</v>
      </c>
      <c r="M100" s="181" t="n">
        <v>397.360202332559</v>
      </c>
      <c r="N100" s="181" t="n">
        <v>397.3999383527922</v>
      </c>
      <c r="O100" s="308" t="n">
        <v>397.5955894778655</v>
      </c>
      <c r="P100" s="181" t="n">
        <v>397.4396783466275</v>
      </c>
      <c r="Q100" s="181" t="n">
        <v>397.4794223144621</v>
      </c>
      <c r="R100" s="181" t="n">
        <v>397.5191702566935</v>
      </c>
      <c r="S100" s="181" t="n">
        <v>397.5589221737192</v>
      </c>
      <c r="T100" s="308" t="n">
        <v>397.4996794120835</v>
      </c>
      <c r="U100" s="308" t="n">
        <v>397.5787991259803</v>
      </c>
      <c r="V100" s="308" t="n">
        <v>397.5787991259803</v>
      </c>
      <c r="W100" s="308" t="n">
        <v>397.5787991259803</v>
      </c>
      <c r="Y100" s="330" t="inlineStr">
        <is>
          <t>Do a full Share capital build</t>
        </is>
      </c>
    </row>
    <row r="101">
      <c r="B101" s="307" t="inlineStr">
        <is>
          <t>Adjusted Shares Outstanding - WAD</t>
        </is>
      </c>
      <c r="D101" s="316">
        <f>D100</f>
        <v>405.241943</v>
      </c>
      <c r="E101" s="141">
        <f>E100</f>
        <v>404.164463</v>
      </c>
      <c r="F101" s="330">
        <f>F100</f>
        <v>403.685684</v>
      </c>
      <c r="G101" s="330">
        <f>G100</f>
        <v>401.881106</v>
      </c>
      <c r="H101" s="330">
        <f>H100</f>
        <v>401.267009</v>
      </c>
      <c r="I101" s="330">
        <f>I100</f>
        <v>399.883</v>
      </c>
      <c r="J101" s="141">
        <f>J100</f>
        <v>401.69051</v>
      </c>
      <c r="K101" s="143">
        <f>K100</f>
        <v>398.280164</v>
      </c>
      <c r="L101" s="329" t="n">
        <v>397.2806971578966</v>
      </c>
      <c r="M101" s="329" t="n">
        <v>397.360202332559</v>
      </c>
      <c r="N101" s="329" t="n">
        <v>397.3999383527922</v>
      </c>
      <c r="O101" s="329" t="n">
        <v>397.5955894778655</v>
      </c>
      <c r="P101" s="329" t="n">
        <v>397.4396783466275</v>
      </c>
      <c r="Q101" s="329" t="n">
        <v>397.4794223144621</v>
      </c>
      <c r="R101" s="329" t="n">
        <v>397.5191702566935</v>
      </c>
      <c r="S101" s="329" t="n">
        <v>397.5589221737192</v>
      </c>
      <c r="T101" s="329" t="n">
        <v>397.4996794120835</v>
      </c>
      <c r="U101" s="329" t="n">
        <v>397.5787991259803</v>
      </c>
      <c r="V101" s="329" t="n">
        <v>397.5787991259803</v>
      </c>
      <c r="W101" s="329" t="n">
        <v>397.5787991259803</v>
      </c>
      <c r="Y101" s="330" t="inlineStr">
        <is>
          <t>Need to fix this</t>
        </is>
      </c>
    </row>
    <row r="102" ht="5.1" customHeight="1" s="20"/>
    <row r="103">
      <c r="B103" s="306" t="inlineStr">
        <is>
          <t>Earnings Per Share</t>
        </is>
      </c>
      <c r="C103" s="306" t="n"/>
      <c r="D103" s="354">
        <f>D55/D100</f>
        <v>0.8522192885658132</v>
      </c>
      <c r="E103" s="354">
        <f>E55/E100</f>
        <v>0.9578699649305878</v>
      </c>
      <c r="F103" s="355">
        <f>F55/F100</f>
        <v>0.25329112240700624</v>
      </c>
      <c r="G103" s="355">
        <f>G55/G100</f>
        <v>0.2796001064055995</v>
      </c>
      <c r="H103" s="355">
        <f>H55/H100</f>
        <v>0.3120914433311911</v>
      </c>
      <c r="I103" s="355">
        <f>I55/I100</f>
        <v>-0.15184191375977477</v>
      </c>
      <c r="J103" s="354">
        <f>J55/J100</f>
        <v>0.6948857218459061</v>
      </c>
      <c r="K103" s="356">
        <f>K55/K100</f>
        <v>0.2976347072107765</v>
      </c>
      <c r="L103" s="355">
        <f>L55/L100</f>
        <v>0.2984379936905712</v>
      </c>
      <c r="M103" s="355">
        <f>M55/M100</f>
        <v>0.3206118407001294</v>
      </c>
      <c r="N103" s="355">
        <f>N55/N100</f>
        <v>0.3248530096666416</v>
      </c>
      <c r="O103" s="354">
        <f>O55/O100</f>
        <v>1.2414639879332299</v>
      </c>
      <c r="P103" s="355">
        <f>P55/P100</f>
        <v>0.3073255297525562</v>
      </c>
      <c r="Q103" s="355">
        <f>Q55/Q100</f>
        <v>0.32782541403179466</v>
      </c>
      <c r="R103" s="355">
        <f>R55/R100</f>
        <v>0.3507690182400614</v>
      </c>
      <c r="S103" s="355">
        <f>S55/S100</f>
        <v>0.35233369652282936</v>
      </c>
      <c r="T103" s="354">
        <f>T55/T100</f>
        <v>1.356166213553319</v>
      </c>
      <c r="U103" s="354">
        <f>U55/U100</f>
        <v>1.4954655685516736</v>
      </c>
      <c r="V103" s="354">
        <f>V55/V100</f>
        <v>1.6520011369426784</v>
      </c>
      <c r="W103" s="354">
        <f>W55/W100</f>
        <v>1.7982561858411805</v>
      </c>
    </row>
    <row r="104">
      <c r="B104" s="306" t="inlineStr">
        <is>
          <t>Adjusted Earnings Per Share</t>
        </is>
      </c>
      <c r="C104" s="306" t="n"/>
      <c r="D104" s="354">
        <f>D92/D101</f>
        <v>0.9812303438006902</v>
      </c>
      <c r="E104" s="354">
        <f>E92/E101</f>
        <v>1.1213948189104954</v>
      </c>
      <c r="F104" s="355">
        <f>F92/F101</f>
        <v>0.27997307810252486</v>
      </c>
      <c r="G104" s="355">
        <f>G92/G101</f>
        <v>0.3154637659236409</v>
      </c>
      <c r="H104" s="355">
        <f>H92/H101</f>
        <v>0.347275617471645</v>
      </c>
      <c r="I104" s="355">
        <f>I92/I101</f>
        <v>0.3313890437953102</v>
      </c>
      <c r="J104" s="354">
        <f>J92/J101</f>
        <v>1.273784496450255</v>
      </c>
      <c r="K104" s="356">
        <f>K92/K101</f>
        <v>0.3449602599919118</v>
      </c>
      <c r="L104" s="355">
        <f>L92/L101</f>
        <v>0.33575534477677105</v>
      </c>
      <c r="M104" s="355">
        <f>M92/M101</f>
        <v>0.36070185897777707</v>
      </c>
      <c r="N104" s="355">
        <f>N92/N101</f>
        <v>0.365473353153161</v>
      </c>
      <c r="O104" s="354">
        <f>O92/O101</f>
        <v>1.406825459967534</v>
      </c>
      <c r="P104" s="355">
        <f>P92/P101</f>
        <v>0.34575419813255953</v>
      </c>
      <c r="Q104" s="355">
        <f>Q92/Q101</f>
        <v>0.3688174335770253</v>
      </c>
      <c r="R104" s="355">
        <f>R92/R101</f>
        <v>0.3946299571304288</v>
      </c>
      <c r="S104" s="355">
        <f>S92/S101</f>
        <v>0.3963902862688166</v>
      </c>
      <c r="T104" s="354">
        <f>T92/T101</f>
        <v>1.5055993169648616</v>
      </c>
      <c r="U104" s="354">
        <f>U92/U101</f>
        <v>1.677182670974769</v>
      </c>
      <c r="V104" s="354">
        <f>V92/V101</f>
        <v>1.8493890072937846</v>
      </c>
      <c r="W104" s="354">
        <f>W92/W101</f>
        <v>2.010285641827722</v>
      </c>
    </row>
    <row r="105" ht="5.1" customHeight="1" s="20"/>
    <row r="106">
      <c r="B106" s="306" t="inlineStr">
        <is>
          <t xml:space="preserve">P/E </t>
        </is>
      </c>
      <c r="O106" s="317" t="n">
        <v>18</v>
      </c>
      <c r="T106" s="317" t="n">
        <v>18</v>
      </c>
      <c r="U106" s="317" t="n">
        <v>18</v>
      </c>
      <c r="V106" s="317" t="n">
        <v>18</v>
      </c>
      <c r="W106" s="317" t="n">
        <v>18</v>
      </c>
    </row>
    <row r="107" ht="5.1" customHeight="1" s="20"/>
    <row r="108">
      <c r="B108" s="307" t="inlineStr">
        <is>
          <t>Implied Share Price</t>
        </is>
      </c>
      <c r="O108" s="141">
        <f>O106*O104*O110</f>
        <v>35.988846186705466</v>
      </c>
      <c r="T108" s="141">
        <f>T106*T104*T110</f>
        <v>38.5156394868683</v>
      </c>
      <c r="U108" s="141">
        <f>U106*U104*U110</f>
        <v>42.90501621580815</v>
      </c>
      <c r="V108" s="141">
        <f>V106*V104*V110</f>
        <v>47.31032982898668</v>
      </c>
      <c r="W108" s="141">
        <f>W106*W104*W110</f>
        <v>51.426323174980055</v>
      </c>
    </row>
    <row r="109">
      <c r="A109" s="305" t="inlineStr">
        <is>
          <t>x</t>
        </is>
      </c>
      <c r="B109" s="307" t="inlineStr">
        <is>
          <t>Current Share Price</t>
        </is>
      </c>
      <c r="O109" s="141" t="n">
        <v>28.86</v>
      </c>
      <c r="T109" s="141" t="n">
        <v>28.86</v>
      </c>
      <c r="U109" s="141" t="n">
        <v>28.86</v>
      </c>
      <c r="V109" s="141" t="n">
        <v>28.86</v>
      </c>
      <c r="W109" s="141" t="n">
        <v>28.86</v>
      </c>
      <c r="X109" s="351" t="n"/>
    </row>
    <row r="110">
      <c r="B110" s="307" t="inlineStr">
        <is>
          <t>USD/CAD Exchange Rate</t>
        </is>
      </c>
      <c r="O110" s="141" t="n">
        <v>1.4212</v>
      </c>
      <c r="T110" s="141" t="n">
        <v>1.4212</v>
      </c>
      <c r="U110" s="141" t="n">
        <v>1.4212</v>
      </c>
      <c r="V110" s="141" t="n">
        <v>1.4212</v>
      </c>
      <c r="W110" s="141" t="n">
        <v>1.4212</v>
      </c>
      <c r="Y110" s="330" t="inlineStr">
        <is>
          <t>Note on why Stock is trading down below</t>
        </is>
      </c>
    </row>
    <row r="111">
      <c r="Y111" s="331" t="inlineStr">
        <is>
          <t>I think stock trading down because of macro risk and then they had slightly weaker originations in q4'25 (had a lot of order volume but those usually cobvert in the next quarter), higher rate risk with war and inflation concerns hurts valuation and then obviously they are balance sheet heavy still so could hurt spreads -- they are protected from this because the way they structure their financing and leases has built in escalators so they earn a fixed spread -- otherwise I think just higher fuel costs which hurts transportation companies in general</t>
        </is>
      </c>
      <c r="AA111" s="330" t="n"/>
      <c r="AB111" s="330" t="n"/>
    </row>
    <row r="112">
      <c r="B112" s="325" t="inlineStr">
        <is>
          <t>Need to build out FCF/Share</t>
        </is>
      </c>
    </row>
    <row r="113">
      <c r="B113" s="307" t="inlineStr">
        <is>
          <t>Share buybacks</t>
        </is>
      </c>
    </row>
  </sheetData>
  <pageMargins left="0.7" right="0.7" top="0.75" bottom="0.75" header="0.3" footer="0.3"/>
  <legacyDrawing r:id="anysvml"/>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AA80"/>
  <sheetViews>
    <sheetView showGridLines="0" zoomScale="85" zoomScaleNormal="85" workbookViewId="0">
      <pane xSplit="3" ySplit="2" topLeftCell="D3" activePane="bottomRight" state="frozen"/>
      <selection pane="topRight" activeCell="D1" sqref="D1"/>
      <selection pane="bottomLeft" activeCell="A3" sqref="A3"/>
      <selection pane="bottomRight" activeCell="G26" sqref="E26:G26"/>
    </sheetView>
  </sheetViews>
  <sheetFormatPr baseColWidth="8" defaultColWidth="9.140625" defaultRowHeight="15"/>
  <cols>
    <col width="9.140625" customWidth="1" style="305" min="1" max="1"/>
    <col width="49.140625" bestFit="1" customWidth="1" style="307" min="2" max="2"/>
    <col width="9.140625" customWidth="1" style="118" min="3" max="3"/>
    <col width="10.5703125" customWidth="1" style="114" min="4" max="5"/>
    <col outlineLevel="1" width="10.5703125" customWidth="1" style="131" min="6" max="9"/>
    <col width="10.5703125" customWidth="1" style="114" min="10" max="10"/>
    <col outlineLevel="1" width="10.5703125" customWidth="1" style="128" min="11" max="11"/>
    <col outlineLevel="1" width="10.5703125" customWidth="1" style="131" min="12" max="14"/>
    <col width="10.5703125" customWidth="1" style="114" min="15" max="15"/>
    <col outlineLevel="1" width="10.5703125" customWidth="1" style="131" min="16" max="19"/>
    <col width="10.5703125" customWidth="1" style="114" min="20" max="23"/>
    <col width="9.140625" customWidth="1" style="307" min="24" max="24"/>
    <col width="9.5703125" bestFit="1" customWidth="1" style="307" min="25" max="25"/>
    <col width="9.140625" customWidth="1" style="307" min="26" max="16384"/>
  </cols>
  <sheetData>
    <row r="1">
      <c r="C1" s="72" t="n"/>
      <c r="D1" s="307" t="n"/>
      <c r="E1" s="307" t="n"/>
      <c r="F1" s="307" t="n"/>
      <c r="G1" s="307" t="n"/>
      <c r="H1" s="307" t="n"/>
      <c r="I1" s="307" t="n"/>
      <c r="J1" s="307" t="n"/>
      <c r="K1" s="73" t="n"/>
      <c r="L1" s="307" t="n"/>
      <c r="M1" s="307" t="n"/>
      <c r="N1" s="307" t="n"/>
      <c r="O1" s="307" t="n"/>
      <c r="P1" s="307" t="n"/>
      <c r="Q1" s="307" t="n"/>
      <c r="R1" s="307" t="n"/>
      <c r="S1" s="307" t="n"/>
      <c r="T1" s="307" t="n"/>
      <c r="U1" s="307" t="n"/>
      <c r="V1" s="307" t="n"/>
      <c r="W1" s="307" t="n"/>
    </row>
    <row r="2" ht="18.75" customHeight="1" s="20">
      <c r="A2" s="305" t="inlineStr">
        <is>
          <t>x</t>
        </is>
      </c>
      <c r="B2" s="74" t="inlineStr">
        <is>
          <t>EFN Thesis Build</t>
        </is>
      </c>
      <c r="C2" s="72" t="n"/>
      <c r="D2" s="307" t="n"/>
      <c r="E2" s="307" t="n"/>
      <c r="F2" s="307" t="n"/>
      <c r="G2" s="307" t="n"/>
      <c r="H2" s="307" t="n"/>
      <c r="I2" s="307" t="n"/>
      <c r="J2" s="307" t="n"/>
      <c r="K2" s="73" t="n"/>
      <c r="L2" s="307" t="n"/>
      <c r="M2" s="307" t="n"/>
      <c r="N2" s="307" t="n"/>
      <c r="O2" s="307" t="n"/>
      <c r="P2" s="307" t="n"/>
      <c r="Q2" s="307" t="n"/>
      <c r="R2" s="307" t="n"/>
      <c r="S2" s="307" t="n"/>
      <c r="T2" s="307" t="n"/>
      <c r="U2" s="307" t="n"/>
      <c r="V2" s="307" t="n"/>
      <c r="W2" s="307" t="n"/>
    </row>
    <row r="3">
      <c r="C3" s="72" t="n"/>
      <c r="D3" s="307" t="n"/>
      <c r="E3" s="307" t="n"/>
      <c r="F3" s="307" t="n"/>
      <c r="G3" s="307" t="n"/>
      <c r="H3" s="307" t="n"/>
      <c r="I3" s="307" t="n"/>
      <c r="J3" s="307" t="n"/>
      <c r="K3" s="73" t="n"/>
      <c r="L3" s="307" t="n"/>
      <c r="M3" s="307" t="n"/>
      <c r="N3" s="307" t="n"/>
      <c r="O3" s="307" t="n"/>
      <c r="P3" s="307" t="n"/>
      <c r="Q3" s="307" t="n"/>
      <c r="R3" s="307" t="n"/>
      <c r="S3" s="307" t="n"/>
      <c r="T3" s="307" t="n"/>
      <c r="U3" s="307" t="n"/>
      <c r="V3" s="307" t="n"/>
      <c r="W3" s="307" t="n"/>
    </row>
    <row r="4">
      <c r="C4" s="72" t="n"/>
      <c r="D4" s="307" t="n">
        <v>365</v>
      </c>
      <c r="E4" s="307" t="n">
        <v>366</v>
      </c>
      <c r="F4" s="307" t="n">
        <v>90</v>
      </c>
      <c r="G4" s="307" t="n">
        <v>91</v>
      </c>
      <c r="H4" s="307" t="n">
        <v>92</v>
      </c>
      <c r="I4" s="307" t="n">
        <v>92</v>
      </c>
      <c r="J4" s="307" t="n">
        <v>365</v>
      </c>
      <c r="K4" s="73" t="n">
        <v>90</v>
      </c>
      <c r="L4" s="307" t="n">
        <v>91</v>
      </c>
      <c r="M4" s="307" t="n">
        <v>92</v>
      </c>
      <c r="N4" s="307" t="n">
        <v>92</v>
      </c>
      <c r="O4" s="307" t="n">
        <v>365</v>
      </c>
      <c r="P4" s="307" t="n">
        <v>90</v>
      </c>
      <c r="Q4" s="307" t="n">
        <v>91</v>
      </c>
      <c r="R4" s="307" t="n">
        <v>92</v>
      </c>
      <c r="S4" s="307" t="n">
        <v>92</v>
      </c>
      <c r="T4" s="307" t="n">
        <v>365</v>
      </c>
      <c r="U4" s="307" t="n">
        <v>366</v>
      </c>
      <c r="V4" s="307" t="n">
        <v>365</v>
      </c>
      <c r="W4" s="307" t="n">
        <v>365</v>
      </c>
    </row>
    <row r="5">
      <c r="A5" s="305" t="inlineStr">
        <is>
          <t>x</t>
        </is>
      </c>
      <c r="B5" s="75" t="inlineStr">
        <is>
          <t>Service and other Revenue</t>
        </is>
      </c>
      <c r="C5" s="76" t="inlineStr">
        <is>
          <t>Units</t>
        </is>
      </c>
      <c r="D5" s="77" t="n">
        <v>2023</v>
      </c>
      <c r="E5" s="77">
        <f>D5+1</f>
        <v>2024.0</v>
      </c>
      <c r="F5" s="78" t="inlineStr">
        <is>
          <t>Q1'25A</t>
        </is>
      </c>
      <c r="G5" s="79" t="inlineStr">
        <is>
          <t>Q2'25A</t>
        </is>
      </c>
      <c r="H5" s="79" t="inlineStr">
        <is>
          <t>Q3'25A</t>
        </is>
      </c>
      <c r="I5" s="79" t="inlineStr">
        <is>
          <t>Q4'25A</t>
        </is>
      </c>
      <c r="J5" s="77">
        <f>E5+1</f>
        <v>2025.0</v>
      </c>
      <c r="K5" s="78" t="inlineStr">
        <is>
          <t>Q1'26A</t>
        </is>
      </c>
      <c r="L5" s="79" t="inlineStr">
        <is>
          <t>Q2'26E</t>
        </is>
      </c>
      <c r="M5" s="79" t="inlineStr">
        <is>
          <t>Q3'26E</t>
        </is>
      </c>
      <c r="N5" s="79" t="inlineStr">
        <is>
          <t>Q4'26E</t>
        </is>
      </c>
      <c r="O5" s="80">
        <f>J5+1</f>
        <v>2026.0</v>
      </c>
      <c r="P5" s="78" t="inlineStr">
        <is>
          <t>Q1'27E</t>
        </is>
      </c>
      <c r="Q5" s="79" t="inlineStr">
        <is>
          <t>Q2'27E</t>
        </is>
      </c>
      <c r="R5" s="79" t="inlineStr">
        <is>
          <t>Q3'27E</t>
        </is>
      </c>
      <c r="S5" s="79" t="inlineStr">
        <is>
          <t>Q4'27E</t>
        </is>
      </c>
      <c r="T5" s="80">
        <f>O5+1</f>
        <v>2027.0</v>
      </c>
      <c r="U5" s="80">
        <f>T5+1</f>
        <v>2028.0</v>
      </c>
      <c r="V5" s="80">
        <f>U5+1</f>
        <v>2029.0</v>
      </c>
      <c r="W5" s="80">
        <f>V5+1</f>
        <v>2030.0</v>
      </c>
      <c r="Y5" s="262" t="inlineStr">
        <is>
          <t>Step</t>
        </is>
      </c>
    </row>
    <row r="6" ht="5.1" customFormat="1" customHeight="1" s="307">
      <c r="A6" s="305" t="n"/>
      <c r="B6" s="82" t="n"/>
      <c r="C6" s="83" t="n"/>
      <c r="D6" s="84" t="n"/>
      <c r="E6" s="84" t="n"/>
      <c r="F6" s="84" t="n"/>
      <c r="G6" s="84" t="n"/>
      <c r="H6" s="84" t="n"/>
      <c r="I6" s="84" t="n"/>
      <c r="J6" s="84" t="n"/>
      <c r="K6" s="85" t="n"/>
      <c r="L6" s="86" t="n"/>
      <c r="M6" s="86" t="n"/>
      <c r="N6" s="86" t="n"/>
      <c r="O6" s="87" t="n"/>
      <c r="P6" s="87" t="n"/>
      <c r="Q6" s="87" t="n"/>
      <c r="R6" s="87" t="n"/>
      <c r="S6" s="87" t="n"/>
      <c r="T6" s="87" t="n"/>
      <c r="U6" s="87" t="n"/>
      <c r="V6" s="87" t="n"/>
      <c r="W6" s="87" t="n"/>
    </row>
    <row r="7">
      <c r="B7" s="89" t="inlineStr">
        <is>
          <t>EFN Total Fleet TAM</t>
        </is>
      </c>
      <c r="C7" s="90" t="inlineStr">
        <is>
          <t>#</t>
        </is>
      </c>
      <c r="D7" s="357">
        <f>D13+D16</f>
        <v>16.662992266508034</v>
      </c>
      <c r="E7" s="357">
        <f>E13+E16</f>
        <v>17.079567073170736</v>
      </c>
      <c r="F7" s="357" t="n"/>
      <c r="G7" s="357" t="n"/>
      <c r="H7" s="357" t="n"/>
      <c r="I7" s="357" t="n"/>
      <c r="J7" s="357">
        <f>J13+J16</f>
        <v>17.50655625</v>
      </c>
      <c r="K7" s="358">
        <f>K13+K16</f>
        <v>17.614961158613603</v>
      </c>
      <c r="L7" s="357">
        <f>L13+L16</f>
        <v>17.79111077019974</v>
      </c>
      <c r="M7" s="357">
        <f>M13+M16</f>
        <v>17.924544100976238</v>
      </c>
      <c r="N7" s="357">
        <f>N13+N16</f>
        <v>18.058978181733565</v>
      </c>
      <c r="O7" s="357">
        <f>O13+O16</f>
        <v>18.058978181733565</v>
      </c>
      <c r="P7" s="357">
        <f>P13+P16</f>
        <v>18.14927307264223</v>
      </c>
      <c r="Q7" s="357">
        <f>Q13+Q16</f>
        <v>18.33076580336865</v>
      </c>
      <c r="R7" s="357">
        <f>R13+R16</f>
        <v>18.42241963238549</v>
      </c>
      <c r="S7" s="357">
        <f>S13+S16</f>
        <v>18.514531730547418</v>
      </c>
      <c r="T7" s="357">
        <f>T13+T16</f>
        <v>18.514531730547418</v>
      </c>
      <c r="U7" s="357">
        <f>U13+U16</f>
        <v>18.977395023811102</v>
      </c>
      <c r="V7" s="357">
        <f>V13+V16</f>
        <v>19.451829899406377</v>
      </c>
      <c r="W7" s="359">
        <f>W13+W16</f>
        <v>19.938125646891535</v>
      </c>
      <c r="AA7" s="307" t="inlineStr">
        <is>
          <t># of vehicles</t>
        </is>
      </c>
    </row>
    <row r="8">
      <c r="B8" s="94" t="inlineStr">
        <is>
          <t>% y/y change</t>
        </is>
      </c>
      <c r="C8" s="95" t="inlineStr">
        <is>
          <t>%</t>
        </is>
      </c>
      <c r="D8" s="96" t="n">
        <v>0</v>
      </c>
      <c r="E8" s="360">
        <f>E7/D7-1</f>
        <v>0.025000000000000133</v>
      </c>
      <c r="F8" s="360" t="n">
        <v>0</v>
      </c>
      <c r="G8" s="360" t="n">
        <v>0</v>
      </c>
      <c r="H8" s="360" t="n">
        <v>0</v>
      </c>
      <c r="I8" s="360" t="n">
        <v>0</v>
      </c>
      <c r="J8" s="360">
        <f>J7/E7-1</f>
        <v>0.02499999999999969</v>
      </c>
      <c r="K8" s="361" t="n">
        <v>0</v>
      </c>
      <c r="L8" s="360">
        <f>L7/K7-1</f>
        <v>0.010000000000000009</v>
      </c>
      <c r="M8" s="360">
        <f>M7/L7-1</f>
        <v>0.007500000000000062</v>
      </c>
      <c r="N8" s="360">
        <f>N7/M7-1</f>
        <v>0.007500000000000284</v>
      </c>
      <c r="O8" s="360">
        <f>O7/J7-1</f>
        <v>0.03155514561772055</v>
      </c>
      <c r="P8" s="360">
        <f>P7/K7-1</f>
        <v>0.030332846562500126</v>
      </c>
      <c r="Q8" s="360">
        <f>Q7/L7-1</f>
        <v>0.030332846562499904</v>
      </c>
      <c r="R8" s="360">
        <f>R7/M7-1</f>
        <v>0.027776189374999927</v>
      </c>
      <c r="S8" s="360">
        <f>S7/N7-1</f>
        <v>0.0252258762499995</v>
      </c>
      <c r="T8" s="360">
        <f>T7/O7-1</f>
        <v>0.0252258762499995</v>
      </c>
      <c r="U8" s="360">
        <f>U7/T7-1</f>
        <v>0.02499999999999991</v>
      </c>
      <c r="V8" s="360">
        <f>V7/U7-1</f>
        <v>0.02499999999999991</v>
      </c>
      <c r="W8" s="361">
        <f>W7/V7-1</f>
        <v>0.02499999999999991</v>
      </c>
    </row>
    <row r="9" ht="5.1" customHeight="1" s="20">
      <c r="B9" s="99" t="n"/>
      <c r="C9" s="95" t="n"/>
      <c r="D9" s="100" t="n"/>
      <c r="E9" s="362" t="n"/>
      <c r="F9" s="362" t="n"/>
      <c r="G9" s="362" t="n"/>
      <c r="H9" s="362" t="n"/>
      <c r="I9" s="362" t="n"/>
      <c r="J9" s="362" t="n"/>
      <c r="K9" s="363" t="n"/>
      <c r="L9" s="362" t="n"/>
      <c r="M9" s="362" t="n"/>
      <c r="N9" s="362" t="n"/>
      <c r="O9" s="362" t="n"/>
      <c r="P9" s="362" t="n"/>
      <c r="Q9" s="362" t="n"/>
      <c r="R9" s="362" t="n"/>
      <c r="S9" s="362" t="n"/>
      <c r="T9" s="362" t="n"/>
      <c r="U9" s="362" t="n"/>
      <c r="V9" s="362" t="n"/>
      <c r="W9" s="363" t="n"/>
    </row>
    <row r="10">
      <c r="B10" s="103" t="inlineStr">
        <is>
          <t>EFN Total Fleet SAM</t>
        </is>
      </c>
      <c r="C10" s="104" t="inlineStr">
        <is>
          <t>#</t>
        </is>
      </c>
      <c r="D10" s="364">
        <f>D13</f>
        <v>9.607911957168355</v>
      </c>
      <c r="E10" s="364">
        <f>E13</f>
        <v>9.848109756097564</v>
      </c>
      <c r="F10" s="364" t="n"/>
      <c r="G10" s="364" t="n"/>
      <c r="H10" s="364" t="n"/>
      <c r="I10" s="364" t="n"/>
      <c r="J10" s="364">
        <f>J13+J16</f>
        <v>17.50655625</v>
      </c>
      <c r="K10" s="365">
        <f>K13+K16</f>
        <v>17.614961158613603</v>
      </c>
      <c r="L10" s="364">
        <f>L13+L16</f>
        <v>17.79111077019974</v>
      </c>
      <c r="M10" s="364">
        <f>M13+M16</f>
        <v>17.924544100976238</v>
      </c>
      <c r="N10" s="364">
        <f>N13+N16</f>
        <v>18.058978181733565</v>
      </c>
      <c r="O10" s="364">
        <f>O13+O16</f>
        <v>18.058978181733565</v>
      </c>
      <c r="P10" s="364">
        <f>P13+P16</f>
        <v>18.14927307264223</v>
      </c>
      <c r="Q10" s="364">
        <f>Q13+Q16</f>
        <v>18.33076580336865</v>
      </c>
      <c r="R10" s="364">
        <f>R13+R16</f>
        <v>18.42241963238549</v>
      </c>
      <c r="S10" s="364">
        <f>S13+S16</f>
        <v>18.514531730547418</v>
      </c>
      <c r="T10" s="364">
        <f>T13+T16</f>
        <v>18.514531730547418</v>
      </c>
      <c r="U10" s="364">
        <f>U13+U16</f>
        <v>18.977395023811102</v>
      </c>
      <c r="V10" s="364">
        <f>V13+V16</f>
        <v>19.451829899406377</v>
      </c>
      <c r="W10" s="365">
        <f>W13+W16</f>
        <v>19.938125646891535</v>
      </c>
    </row>
    <row r="11">
      <c r="B11" s="107" t="inlineStr">
        <is>
          <t>% y/y change</t>
        </is>
      </c>
      <c r="C11" s="108" t="inlineStr">
        <is>
          <t>%</t>
        </is>
      </c>
      <c r="D11" s="109" t="n">
        <v>0</v>
      </c>
      <c r="E11" s="366">
        <f>E10/D10-1</f>
        <v>0.025000000000000133</v>
      </c>
      <c r="F11" s="366" t="n">
        <v>0</v>
      </c>
      <c r="G11" s="366" t="n">
        <v>0</v>
      </c>
      <c r="H11" s="366" t="n">
        <v>0</v>
      </c>
      <c r="I11" s="366" t="n">
        <v>0</v>
      </c>
      <c r="J11" s="366">
        <f>J10/E10-1</f>
        <v>0.7776564928270244</v>
      </c>
      <c r="K11" s="367" t="n">
        <v>0</v>
      </c>
      <c r="L11" s="366">
        <f>L10/K10-1</f>
        <v>0.010000000000000009</v>
      </c>
      <c r="M11" s="366">
        <f>M10/L10-1</f>
        <v>0.007500000000000062</v>
      </c>
      <c r="N11" s="366">
        <f>N10/M10-1</f>
        <v>0.007500000000000284</v>
      </c>
      <c r="O11" s="366">
        <f>O10/J10-1</f>
        <v>0.03155514561772055</v>
      </c>
      <c r="P11" s="366">
        <f>P10/K10-1</f>
        <v>0.030332846562500126</v>
      </c>
      <c r="Q11" s="366">
        <f>Q10/L10-1</f>
        <v>0.030332846562499904</v>
      </c>
      <c r="R11" s="366">
        <f>R10/M10-1</f>
        <v>0.027776189374999927</v>
      </c>
      <c r="S11" s="366">
        <f>S10/N10-1</f>
        <v>0.0252258762499995</v>
      </c>
      <c r="T11" s="366">
        <f>T10/O10-1</f>
        <v>0.0252258762499995</v>
      </c>
      <c r="U11" s="366">
        <f>U10/T10-1</f>
        <v>0.02499999999999991</v>
      </c>
      <c r="V11" s="366">
        <f>V10/U10-1</f>
        <v>0.02499999999999991</v>
      </c>
      <c r="W11" s="367">
        <f>W10/V10-1</f>
        <v>0.02499999999999991</v>
      </c>
    </row>
    <row r="12">
      <c r="B12" s="167" t="n"/>
      <c r="C12" s="118" t="n"/>
      <c r="L12" s="131" t="n"/>
      <c r="M12" s="131" t="n"/>
      <c r="N12" s="131" t="n"/>
    </row>
    <row r="13">
      <c r="B13" s="307" t="inlineStr">
        <is>
          <t>Large Fleet TAM, # of vehicles</t>
        </is>
      </c>
      <c r="C13" s="118" t="inlineStr">
        <is>
          <t>#</t>
        </is>
      </c>
      <c r="D13" s="368" t="n">
        <v>9.607911957168355</v>
      </c>
      <c r="E13" s="368" t="n">
        <v>9.848109756097564</v>
      </c>
      <c r="F13" s="369" t="n"/>
      <c r="G13" s="369" t="n"/>
      <c r="H13" s="369" t="n"/>
      <c r="I13" s="369" t="n"/>
      <c r="J13" s="368" t="n">
        <v>10.0943125</v>
      </c>
      <c r="K13" s="370" t="n">
        <v>10.15681896948795</v>
      </c>
      <c r="L13" s="371">
        <f>K13*(1+L14)</f>
        <v>10.258387159182826</v>
      </c>
      <c r="M13" s="371">
        <f>L13*(1+M14)</f>
        <v>10.335325062876699</v>
      </c>
      <c r="N13" s="371">
        <f>M13*(1+N14)</f>
        <v>10.412840000848275</v>
      </c>
      <c r="O13" s="372">
        <f>N13</f>
        <v>10.412840000848275</v>
      </c>
      <c r="P13" s="371">
        <f>O13*(1+P14)</f>
        <v>10.464904200852516</v>
      </c>
      <c r="Q13" s="371">
        <f>P13*(1+Q14)</f>
        <v>10.56955324286104</v>
      </c>
      <c r="R13" s="371">
        <f>Q13*(1+R14)</f>
        <v>10.622401009075345</v>
      </c>
      <c r="S13" s="371">
        <f>R13*(1+S14)</f>
        <v>10.675513014120721</v>
      </c>
      <c r="T13" s="372">
        <f>S13</f>
        <v>10.675513014120721</v>
      </c>
      <c r="U13" s="372">
        <f>T13*(1+U14)</f>
        <v>10.942400839473738</v>
      </c>
      <c r="V13" s="372">
        <f>U13*(1+V14)</f>
        <v>11.21596086046058</v>
      </c>
      <c r="W13" s="372">
        <f>V13*(1+W14)</f>
        <v>11.496359881972094</v>
      </c>
      <c r="Y13" s="373" t="n"/>
    </row>
    <row r="14">
      <c r="B14" s="320" t="inlineStr">
        <is>
          <t>% y/y change</t>
        </is>
      </c>
      <c r="C14" s="118" t="inlineStr">
        <is>
          <t>%</t>
        </is>
      </c>
      <c r="D14" s="169" t="n">
        <v>0</v>
      </c>
      <c r="E14" s="335">
        <f>E13/D13-1</f>
        <v>0.025000000000000133</v>
      </c>
      <c r="F14" s="351" t="n">
        <v>0</v>
      </c>
      <c r="G14" s="351" t="n">
        <v>0</v>
      </c>
      <c r="H14" s="351" t="n">
        <v>0</v>
      </c>
      <c r="I14" s="351" t="n">
        <v>0</v>
      </c>
      <c r="J14" s="335">
        <f>J13/E13-1</f>
        <v>0.02499999999999969</v>
      </c>
      <c r="K14" s="257" t="n">
        <v>0</v>
      </c>
      <c r="L14" s="338" t="n">
        <v>0.01</v>
      </c>
      <c r="M14" s="338" t="n">
        <v>0.0075</v>
      </c>
      <c r="N14" s="338" t="n">
        <v>0.0075</v>
      </c>
      <c r="O14" s="335">
        <f>O13/J13-1</f>
        <v>0.03155514561772055</v>
      </c>
      <c r="P14" s="338" t="n">
        <v>0.005</v>
      </c>
      <c r="Q14" s="338" t="n">
        <v>0.01</v>
      </c>
      <c r="R14" s="338" t="n">
        <v>0.005</v>
      </c>
      <c r="S14" s="338" t="n">
        <v>0.005</v>
      </c>
      <c r="T14" s="335">
        <f>T13/O13-1</f>
        <v>0.025225876249999724</v>
      </c>
      <c r="U14" s="374" t="n">
        <v>0.025</v>
      </c>
      <c r="V14" s="374" t="n">
        <v>0.025</v>
      </c>
      <c r="W14" s="374" t="n">
        <v>0.025</v>
      </c>
    </row>
    <row r="15" ht="5.1" customHeight="1" s="20"/>
    <row r="16">
      <c r="B16" s="307" t="inlineStr">
        <is>
          <t>SME Fleet TAM, # of vehicles</t>
        </is>
      </c>
      <c r="C16" s="118" t="inlineStr">
        <is>
          <t>#</t>
        </is>
      </c>
      <c r="D16" s="368" t="n">
        <v>7.055080309339679</v>
      </c>
      <c r="E16" s="368" t="n">
        <v>7.231457317073171</v>
      </c>
      <c r="F16" s="369" t="n"/>
      <c r="G16" s="369" t="n"/>
      <c r="H16" s="369" t="n"/>
      <c r="I16" s="369" t="n"/>
      <c r="J16" s="368" t="n">
        <v>7.41224375</v>
      </c>
      <c r="K16" s="370" t="n">
        <v>7.458142189125657</v>
      </c>
      <c r="L16" s="371">
        <f>K16*(1+L17)</f>
        <v>7.532723611016913</v>
      </c>
      <c r="M16" s="371">
        <f>L16*(1+M17)</f>
        <v>7.58921903809954</v>
      </c>
      <c r="N16" s="371">
        <f>M16*(1+N17)</f>
        <v>7.646138180885288</v>
      </c>
      <c r="O16" s="372">
        <f>N16</f>
        <v>7.646138180885288</v>
      </c>
      <c r="P16" s="371">
        <f>O16*(1+P17)</f>
        <v>7.684368871789713</v>
      </c>
      <c r="Q16" s="371">
        <f>P16*(1+Q17)</f>
        <v>7.7612125605076105</v>
      </c>
      <c r="R16" s="371">
        <f>Q16*(1+R17)</f>
        <v>7.800018623310148</v>
      </c>
      <c r="S16" s="371">
        <f>R16*(1+S17)</f>
        <v>7.839018716426698</v>
      </c>
      <c r="T16" s="372">
        <f>S16</f>
        <v>7.839018716426698</v>
      </c>
      <c r="U16" s="372">
        <f>T16*(1+U17)</f>
        <v>8.034994184337364</v>
      </c>
      <c r="V16" s="372">
        <f>U16*(1+V17)</f>
        <v>8.235869038945797</v>
      </c>
      <c r="W16" s="372">
        <f>V16*(1+W17)</f>
        <v>8.441765764919442</v>
      </c>
    </row>
    <row r="17">
      <c r="B17" s="320" t="inlineStr">
        <is>
          <t>% y/y change</t>
        </is>
      </c>
      <c r="C17" s="118" t="inlineStr">
        <is>
          <t>%</t>
        </is>
      </c>
      <c r="D17" s="114" t="n">
        <v>0</v>
      </c>
      <c r="E17" s="375">
        <f>E16/D16-1</f>
        <v>0.02499999999999991</v>
      </c>
      <c r="F17" s="351" t="n">
        <v>0</v>
      </c>
      <c r="G17" s="351" t="n">
        <v>0</v>
      </c>
      <c r="H17" s="351" t="n">
        <v>0</v>
      </c>
      <c r="I17" s="351" t="n">
        <v>0</v>
      </c>
      <c r="J17" s="375">
        <f>J16/E16-1</f>
        <v>0.02499999999999991</v>
      </c>
      <c r="K17" s="128" t="n">
        <v>0</v>
      </c>
      <c r="L17" s="376" t="n">
        <v>0.01</v>
      </c>
      <c r="M17" s="376" t="n">
        <v>0.0075</v>
      </c>
      <c r="N17" s="376" t="n">
        <v>0.0075</v>
      </c>
      <c r="O17" s="375">
        <f>O16/J16-1</f>
        <v>0.031555145617720326</v>
      </c>
      <c r="P17" s="376" t="n">
        <v>0.005</v>
      </c>
      <c r="Q17" s="376" t="n">
        <v>0.01</v>
      </c>
      <c r="R17" s="376" t="n">
        <v>0.005</v>
      </c>
      <c r="S17" s="376" t="n">
        <v>0.005</v>
      </c>
      <c r="T17" s="375">
        <f>T16/O16-1</f>
        <v>0.025225876249999724</v>
      </c>
      <c r="U17" s="377" t="n">
        <v>0.025</v>
      </c>
      <c r="V17" s="377" t="n">
        <v>0.025</v>
      </c>
      <c r="W17" s="377" t="n">
        <v>0.025</v>
      </c>
    </row>
    <row r="19">
      <c r="B19" s="89" t="inlineStr">
        <is>
          <t>Total Vehicles Under Management (VUM)</t>
        </is>
      </c>
      <c r="C19" s="90" t="inlineStr">
        <is>
          <t>#</t>
        </is>
      </c>
      <c r="D19" s="378" t="n">
        <v>1.507</v>
      </c>
      <c r="E19" s="378" t="n">
        <v>1.517</v>
      </c>
      <c r="F19" s="378" t="n">
        <v>1.514</v>
      </c>
      <c r="G19" s="378" t="n">
        <v>1.512</v>
      </c>
      <c r="H19" s="378" t="n">
        <v>1.53</v>
      </c>
      <c r="I19" s="378" t="n">
        <v>1.555</v>
      </c>
      <c r="J19" s="379">
        <f>I19</f>
        <v>1.555</v>
      </c>
      <c r="K19" s="380" t="n">
        <v>1.57</v>
      </c>
      <c r="L19" s="379">
        <f>K19+(L10*L22)</f>
        <v>1.5877911107701999</v>
      </c>
      <c r="M19" s="379">
        <f>L19+(M10*M22)</f>
        <v>1.596753382820688</v>
      </c>
      <c r="N19" s="379">
        <f>M19+(N10*N22)</f>
        <v>1.6012681273661213</v>
      </c>
      <c r="O19" s="357">
        <f>N19</f>
        <v>1.6012681273661213</v>
      </c>
      <c r="P19" s="379">
        <f>O19+(P10*P22)</f>
        <v>1.6103427639024424</v>
      </c>
      <c r="Q19" s="379">
        <f>P19+(Q10*Q22)</f>
        <v>1.6378389126074953</v>
      </c>
      <c r="R19" s="379">
        <f>Q19+(R10*R22)</f>
        <v>1.6562613322398807</v>
      </c>
      <c r="S19" s="379">
        <f>R19</f>
        <v>1.6562613322398807</v>
      </c>
      <c r="T19" s="379">
        <f>S19</f>
        <v>1.6562613322398807</v>
      </c>
      <c r="U19" s="379">
        <f>T19+(U10*U22)</f>
        <v>1.7226822148232195</v>
      </c>
      <c r="V19" s="379">
        <f>U19+(V10*V22)</f>
        <v>1.7907636194711418</v>
      </c>
      <c r="W19" s="381">
        <f>V19+(W10*W22)</f>
        <v>1.8605470592352622</v>
      </c>
      <c r="AA19" s="307" t="inlineStr">
        <is>
          <t>Company annual report</t>
        </is>
      </c>
    </row>
    <row r="20">
      <c r="B20" s="136" t="inlineStr">
        <is>
          <t>% y/y change</t>
        </is>
      </c>
      <c r="C20" s="95" t="inlineStr">
        <is>
          <t>%</t>
        </is>
      </c>
      <c r="D20" s="96" t="n">
        <v>0</v>
      </c>
      <c r="E20" s="360">
        <f>E19/D19-1</f>
        <v>0.006635700066357053</v>
      </c>
      <c r="F20" s="360" t="n">
        <v>0</v>
      </c>
      <c r="G20" s="360" t="n">
        <v>0</v>
      </c>
      <c r="H20" s="360" t="n">
        <v>0</v>
      </c>
      <c r="I20" s="360" t="n">
        <v>0</v>
      </c>
      <c r="J20" s="360">
        <f>J19/E19-1</f>
        <v>0.025049439683586083</v>
      </c>
      <c r="K20" s="361">
        <f>K19/F19-1</f>
        <v>0.036988110964332854</v>
      </c>
      <c r="L20" s="360">
        <f>L19/G19-1</f>
        <v>0.050126396012036833</v>
      </c>
      <c r="M20" s="360">
        <f>M19/H19-1</f>
        <v>0.04362966197430573</v>
      </c>
      <c r="N20" s="360">
        <f>N19/I19-1</f>
        <v>0.029754422743486497</v>
      </c>
      <c r="O20" s="360">
        <f>O19/J19-1</f>
        <v>0.029754422743486497</v>
      </c>
      <c r="P20" s="360">
        <f>P19/K19-1</f>
        <v>0.02569602796333914</v>
      </c>
      <c r="Q20" s="360">
        <f>Q19/L19-1</f>
        <v>0.03152039427467157</v>
      </c>
      <c r="R20" s="360">
        <f>R19/M19-1</f>
        <v>0.0372680904010807</v>
      </c>
      <c r="S20" s="360">
        <f>S19/N19-1</f>
        <v>0.034343533062271225</v>
      </c>
      <c r="T20" s="360">
        <f>T19/O19-1</f>
        <v>0.034343533062271225</v>
      </c>
      <c r="U20" s="360">
        <f>U19/T19-1</f>
        <v>0.04010290000160355</v>
      </c>
      <c r="V20" s="360">
        <f>V19/U19-1</f>
        <v>0.03952058253234414</v>
      </c>
      <c r="W20" s="361">
        <f>W19/V19-1</f>
        <v>0.038968537782071655</v>
      </c>
      <c r="AA20" s="307" t="inlineStr">
        <is>
          <t>management targets 2-4% VUM growth</t>
        </is>
      </c>
    </row>
    <row r="21">
      <c r="B21" s="136" t="inlineStr">
        <is>
          <t>% of Total SAM</t>
        </is>
      </c>
      <c r="C21" s="95" t="inlineStr">
        <is>
          <t>%</t>
        </is>
      </c>
      <c r="D21" s="360">
        <f>D19/D10</f>
        <v>0.1568498969097697</v>
      </c>
      <c r="E21" s="360">
        <f>E19/E10</f>
        <v>0.15403971295717261</v>
      </c>
      <c r="F21" s="360" t="n">
        <v>0</v>
      </c>
      <c r="G21" s="360" t="n">
        <v>0</v>
      </c>
      <c r="H21" s="360" t="n">
        <v>0</v>
      </c>
      <c r="I21" s="360" t="n">
        <v>0</v>
      </c>
      <c r="J21" s="360">
        <f>J19/J10</f>
        <v>0.08882386563034063</v>
      </c>
      <c r="K21" s="361">
        <f>K19/K10</f>
        <v>0.08912878012406403</v>
      </c>
      <c r="L21" s="360">
        <f>L19/L10</f>
        <v>0.08924631695451885</v>
      </c>
      <c r="M21" s="360">
        <f>M19/M10</f>
        <v>0.08908195231217751</v>
      </c>
      <c r="N21" s="360">
        <f>N19/N10</f>
        <v>0.08866881122796773</v>
      </c>
      <c r="O21" s="360">
        <f>O19/O10</f>
        <v>0.08866881122796773</v>
      </c>
      <c r="P21" s="360">
        <f>P19/P10</f>
        <v>0.08872767286364948</v>
      </c>
      <c r="Q21" s="360">
        <f>Q19/Q10</f>
        <v>0.08934918105311832</v>
      </c>
      <c r="R21" s="360">
        <f>R19/R10</f>
        <v>0.08990465776429683</v>
      </c>
      <c r="S21" s="360">
        <f>S19/S10</f>
        <v>0.0894573709097481</v>
      </c>
      <c r="T21" s="360">
        <f>T19/T10</f>
        <v>0.0894573709097481</v>
      </c>
      <c r="U21" s="360">
        <f>U19/U10</f>
        <v>0.0907754838143884</v>
      </c>
      <c r="V21" s="360">
        <f>V19/V10</f>
        <v>0.09206144762379356</v>
      </c>
      <c r="W21" s="361">
        <f>W19/W10</f>
        <v>0.09331604646223762</v>
      </c>
    </row>
    <row r="22">
      <c r="B22" s="137" t="inlineStr">
        <is>
          <t>% Active SAM Capture Rate</t>
        </is>
      </c>
      <c r="C22" s="108" t="inlineStr">
        <is>
          <t>%</t>
        </is>
      </c>
      <c r="D22" s="366" t="n">
        <v>0</v>
      </c>
      <c r="E22" s="366">
        <f>(E19-D19)/E10</f>
        <v>0.0010154232891046325</v>
      </c>
      <c r="F22" s="366" t="n">
        <v>0</v>
      </c>
      <c r="G22" s="366" t="n">
        <v>0</v>
      </c>
      <c r="H22" s="366" t="n">
        <v>0</v>
      </c>
      <c r="I22" s="366" t="n">
        <v>0</v>
      </c>
      <c r="J22" s="366">
        <f>(J19-E19)/J10</f>
        <v>0.00217061536588614</v>
      </c>
      <c r="K22" s="367">
        <f>(K19-J19)/K10</f>
        <v>0.0008515488546885169</v>
      </c>
      <c r="L22" s="382" t="n">
        <v>0.001</v>
      </c>
      <c r="M22" s="382" t="n">
        <v>0.0005</v>
      </c>
      <c r="N22" s="382" t="n">
        <v>0.00025</v>
      </c>
      <c r="O22" s="366">
        <f>K22+L22+M22+N22</f>
        <v>0.0026015488546885174</v>
      </c>
      <c r="P22" s="382" t="n">
        <v>0.0005</v>
      </c>
      <c r="Q22" s="382" t="n">
        <v>0.0015</v>
      </c>
      <c r="R22" s="382" t="n">
        <v>0.001</v>
      </c>
      <c r="S22" s="382" t="n">
        <v>0.0005</v>
      </c>
      <c r="T22" s="383">
        <f>SUM(P22:S22)</f>
        <v>0.0035</v>
      </c>
      <c r="U22" s="382">
        <f>T22</f>
        <v>0.0035</v>
      </c>
      <c r="V22" s="383">
        <f>U22</f>
        <v>0.0035</v>
      </c>
      <c r="W22" s="384">
        <f>V22</f>
        <v>0.0035</v>
      </c>
      <c r="AA22" s="307" t="inlineStr">
        <is>
          <t>Driven by conversion of SMEs and continued pentration into large fleets</t>
        </is>
      </c>
    </row>
    <row r="23">
      <c r="K23" s="370" t="n"/>
    </row>
    <row r="24">
      <c r="B24" s="307" t="inlineStr">
        <is>
          <t>Average Service Rev per VUM</t>
        </is>
      </c>
      <c r="C24" s="118" t="inlineStr">
        <is>
          <t>$</t>
        </is>
      </c>
      <c r="D24" s="141">
        <f>D27/D19</f>
        <v>333.3986673941044</v>
      </c>
      <c r="E24" s="141">
        <f>E27/E19</f>
        <v>392.5774555042848</v>
      </c>
      <c r="F24" s="330">
        <f>F27/F19</f>
        <v>100.71466314398943</v>
      </c>
      <c r="G24" s="330">
        <f>G27/G19</f>
        <v>100.08994708994707</v>
      </c>
      <c r="H24" s="330">
        <f>H27/H19</f>
        <v>102.07189542483661</v>
      </c>
      <c r="I24" s="330">
        <f>I27/I19</f>
        <v>104.735691318328</v>
      </c>
      <c r="J24" s="141">
        <f>J27/J19</f>
        <v>400.5479099678457</v>
      </c>
      <c r="K24" s="143">
        <f>K27/K19</f>
        <v>103.26433121019107</v>
      </c>
      <c r="L24" s="330">
        <f>G24*(1+L25)</f>
        <v>106.0953439153439</v>
      </c>
      <c r="M24" s="330">
        <f>H24*(1+M25)</f>
        <v>109.21692810457517</v>
      </c>
      <c r="N24" s="330">
        <f>I24*(1+N25)</f>
        <v>109.9724758842444</v>
      </c>
      <c r="O24" s="141">
        <f>SUM(K24:N24)</f>
        <v>428.5490791143545</v>
      </c>
      <c r="P24" s="330">
        <f>K24*(1+P25)</f>
        <v>109.46019108280254</v>
      </c>
      <c r="Q24" s="330">
        <f>L24*(1+Q25)</f>
        <v>113.52201798941799</v>
      </c>
      <c r="R24" s="330">
        <f>M24*(1+R25)</f>
        <v>116.86211307189545</v>
      </c>
      <c r="S24" s="330">
        <f>N24*(1+S25)</f>
        <v>116.57082443729907</v>
      </c>
      <c r="T24" s="141">
        <f>SUM(P24:S24)</f>
        <v>456.41514658141506</v>
      </c>
      <c r="U24" s="141">
        <f>T24*(1+U25)</f>
        <v>488.36420684211413</v>
      </c>
      <c r="V24" s="141">
        <f>U24*(1+V25)</f>
        <v>517.666059252641</v>
      </c>
      <c r="W24" s="141">
        <f>V24*(1+W25)</f>
        <v>543.5493622152732</v>
      </c>
    </row>
    <row r="25">
      <c r="B25" s="320" t="inlineStr">
        <is>
          <t>% y/y change</t>
        </is>
      </c>
      <c r="C25" s="263" t="inlineStr">
        <is>
          <t>%</t>
        </is>
      </c>
      <c r="D25" s="114" t="n">
        <v>0</v>
      </c>
      <c r="E25" s="375">
        <f>E24/D24-1</f>
        <v>0.17750157363474472</v>
      </c>
      <c r="F25" s="351" t="n">
        <v>0</v>
      </c>
      <c r="G25" s="351" t="n">
        <v>0</v>
      </c>
      <c r="H25" s="351" t="n">
        <v>0</v>
      </c>
      <c r="I25" s="351" t="n">
        <v>0</v>
      </c>
      <c r="J25" s="375">
        <f>J24/E24-1</f>
        <v>0.020302883804987015</v>
      </c>
      <c r="K25" s="337">
        <f>K24/F24-1</f>
        <v>0.025315758268053212</v>
      </c>
      <c r="L25" s="338" t="n">
        <v>0.06</v>
      </c>
      <c r="M25" s="338" t="n">
        <v>0.07000000000000001</v>
      </c>
      <c r="N25" s="338" t="n">
        <v>0.05</v>
      </c>
      <c r="O25" s="375">
        <f>O24/J24-1</f>
        <v>0.0699071657838799</v>
      </c>
      <c r="P25" s="376" t="n">
        <v>0.06</v>
      </c>
      <c r="Q25" s="376" t="n">
        <v>0.07000000000000001</v>
      </c>
      <c r="R25" s="376" t="n">
        <v>0.07000000000000001</v>
      </c>
      <c r="S25" s="376" t="n">
        <v>0.06</v>
      </c>
      <c r="T25" s="375">
        <f>T24/O24-1</f>
        <v>0.06502421502024669</v>
      </c>
      <c r="U25" s="377" t="n">
        <v>0.07000000000000001</v>
      </c>
      <c r="V25" s="385">
        <f>U25+$Y$25</f>
        <v>0.060000000000000005</v>
      </c>
      <c r="W25" s="385">
        <f>V25+$Y$25</f>
        <v>0.05</v>
      </c>
      <c r="Y25" s="248" t="n">
        <v>-0.01</v>
      </c>
      <c r="AA25" s="307" t="inlineStr">
        <is>
          <t>Continued growth in utilization rate as servuces become more important</t>
        </is>
      </c>
    </row>
    <row r="26">
      <c r="B26" s="320" t="n"/>
      <c r="K26" s="337" t="n"/>
    </row>
    <row r="27">
      <c r="B27" s="89" t="inlineStr">
        <is>
          <t>Service Revenue</t>
        </is>
      </c>
      <c r="C27" s="147" t="inlineStr">
        <is>
          <t>$</t>
        </is>
      </c>
      <c r="D27" s="148" t="n">
        <v>502.4317917629153</v>
      </c>
      <c r="E27" s="148" t="n">
        <v>595.54</v>
      </c>
      <c r="F27" s="148" t="n">
        <v>152.482</v>
      </c>
      <c r="G27" s="148" t="n">
        <v>151.336</v>
      </c>
      <c r="H27" s="148" t="n">
        <v>156.17</v>
      </c>
      <c r="I27" s="148" t="n">
        <v>162.864</v>
      </c>
      <c r="J27" s="149">
        <f>SUM(F27:I27)</f>
        <v>622.8520000000001</v>
      </c>
      <c r="K27" s="150" t="n">
        <v>162.125</v>
      </c>
      <c r="L27" s="279">
        <f>L19*L24</f>
        <v>168.45724396289026</v>
      </c>
      <c r="M27" s="279">
        <f>M19*M24</f>
        <v>174.39249941226427</v>
      </c>
      <c r="N27" s="279">
        <f>N19*N24</f>
        <v>176.09542052097999</v>
      </c>
      <c r="O27" s="279">
        <f>SUM(K27:N27)</f>
        <v>681.0701638961345</v>
      </c>
      <c r="P27" s="279">
        <f>P19*P24</f>
        <v>176.26842664556972</v>
      </c>
      <c r="Q27" s="279">
        <f>Q19*Q24</f>
        <v>185.93077850079686</v>
      </c>
      <c r="R27" s="279">
        <f>R19*R24</f>
        <v>193.55419908482514</v>
      </c>
      <c r="S27" s="279">
        <f>S19*S24</f>
        <v>193.07174898282219</v>
      </c>
      <c r="T27" s="279">
        <f>T24*T19</f>
        <v>755.942758731395</v>
      </c>
      <c r="U27" s="279">
        <f>U24*U19</f>
        <v>841.296333483158</v>
      </c>
      <c r="V27" s="279">
        <f>V24*V19</f>
        <v>927.017545944622</v>
      </c>
      <c r="W27" s="280">
        <f>W24*W19</f>
        <v>1011.2991674188288</v>
      </c>
    </row>
    <row r="28">
      <c r="B28" s="137" t="inlineStr">
        <is>
          <t>% y/y change</t>
        </is>
      </c>
      <c r="C28" s="108" t="inlineStr">
        <is>
          <t>%</t>
        </is>
      </c>
      <c r="D28" s="151" t="n">
        <v>0</v>
      </c>
      <c r="E28" s="347">
        <f>E27/D27-1</f>
        <v>0.18531512090504831</v>
      </c>
      <c r="F28" s="347" t="n">
        <v>0</v>
      </c>
      <c r="G28" s="347" t="n">
        <v>0</v>
      </c>
      <c r="H28" s="347" t="n">
        <v>0</v>
      </c>
      <c r="I28" s="347" t="n">
        <v>0</v>
      </c>
      <c r="J28" s="347">
        <f>J27/E27-1</f>
        <v>0.045860899351849005</v>
      </c>
      <c r="K28" s="367">
        <f>K27/F27-1</f>
        <v>0.0632402513083512</v>
      </c>
      <c r="L28" s="347">
        <f>L27/G27-1</f>
        <v>0.11313397977275907</v>
      </c>
      <c r="M28" s="347">
        <f>M27/H27-1</f>
        <v>0.11668373831250722</v>
      </c>
      <c r="N28" s="347">
        <f>N27/I27-1</f>
        <v>0.08124214388066076</v>
      </c>
      <c r="O28" s="347">
        <f>O27/J27-1</f>
        <v>0.09347030096416886</v>
      </c>
      <c r="P28" s="347">
        <f>P27/K27-1</f>
        <v>0.08723778964113937</v>
      </c>
      <c r="Q28" s="347">
        <f>Q27/L27-1</f>
        <v>0.1037268218738987</v>
      </c>
      <c r="R28" s="347">
        <f>R27/M27-1</f>
        <v>0.10987685672915659</v>
      </c>
      <c r="S28" s="347">
        <f>S27/N27-1</f>
        <v>0.09640414504600736</v>
      </c>
      <c r="T28" s="347">
        <f>T27/O27-1</f>
        <v>0.10993374663036737</v>
      </c>
      <c r="U28" s="347">
        <f>U27/T27-1</f>
        <v>0.11291010300171589</v>
      </c>
      <c r="V28" s="347">
        <f>V27/U27-1</f>
        <v>0.10189181748428489</v>
      </c>
      <c r="W28" s="348">
        <f>W27/V27-1</f>
        <v>0.09091696467117516</v>
      </c>
    </row>
    <row r="29">
      <c r="F29" s="114" t="n"/>
      <c r="G29" s="114" t="n"/>
      <c r="H29" s="114" t="n"/>
      <c r="I29" s="114" t="n"/>
    </row>
    <row r="30">
      <c r="A30" s="305" t="inlineStr">
        <is>
          <t>x</t>
        </is>
      </c>
      <c r="B30" s="75" t="inlineStr">
        <is>
          <t>Financing Revenue</t>
        </is>
      </c>
      <c r="C30" s="76" t="inlineStr">
        <is>
          <t>Units</t>
        </is>
      </c>
      <c r="D30" s="154" t="n"/>
      <c r="E30" s="154" t="n"/>
      <c r="F30" s="154" t="n"/>
      <c r="G30" s="154" t="n"/>
      <c r="H30" s="154" t="n"/>
      <c r="I30" s="154" t="n"/>
      <c r="J30" s="154" t="n"/>
      <c r="K30" s="155" t="n"/>
      <c r="L30" s="156" t="n"/>
      <c r="M30" s="156" t="n"/>
      <c r="N30" s="156" t="n"/>
      <c r="O30" s="157" t="n"/>
      <c r="P30" s="157" t="n"/>
      <c r="Q30" s="157" t="n"/>
      <c r="R30" s="157" t="n"/>
      <c r="S30" s="157" t="n"/>
      <c r="T30" s="157" t="n"/>
      <c r="U30" s="157" t="n"/>
      <c r="V30" s="157" t="n"/>
      <c r="W30" s="157" t="n"/>
    </row>
    <row r="31" ht="5.1" customHeight="1" s="20"/>
    <row r="32">
      <c r="B32" s="306" t="inlineStr">
        <is>
          <t>Net Earning Assets - BOP</t>
        </is>
      </c>
      <c r="C32" s="118" t="inlineStr">
        <is>
          <t>$</t>
        </is>
      </c>
      <c r="E32" s="159" t="n">
        <v>7610.333</v>
      </c>
      <c r="F32" s="160" t="n">
        <v>7403.724</v>
      </c>
      <c r="G32" s="160" t="n">
        <v>7576.701</v>
      </c>
      <c r="H32" s="160" t="n">
        <v>8290.165000000001</v>
      </c>
      <c r="I32" s="160" t="n">
        <v>8790.444</v>
      </c>
      <c r="J32" s="159" t="n">
        <v>7403.724</v>
      </c>
      <c r="K32" s="161" t="n">
        <v>8855.217000000001</v>
      </c>
      <c r="L32" s="188">
        <f>K41</f>
        <v>8439.501</v>
      </c>
      <c r="M32" s="188">
        <f>L41</f>
        <v>8940.540169041094</v>
      </c>
      <c r="N32" s="188">
        <f>M41</f>
        <v>9221.226204477987</v>
      </c>
      <c r="O32" s="163">
        <f>J41</f>
        <v>8855.217</v>
      </c>
      <c r="P32" s="188">
        <f>O41</f>
        <v>9102.27286161883</v>
      </c>
      <c r="Q32" s="188">
        <f>P41</f>
        <v>9110.863087197711</v>
      </c>
      <c r="R32" s="188">
        <f>Q41</f>
        <v>9600.333402812787</v>
      </c>
      <c r="S32" s="188">
        <f>R41</f>
        <v>9866.262980660367</v>
      </c>
      <c r="T32" s="163">
        <f>O41</f>
        <v>9102.27286161883</v>
      </c>
      <c r="U32" s="163">
        <f>T41</f>
        <v>9726.100712977557</v>
      </c>
      <c r="V32" s="163">
        <f>U41</f>
        <v>10391.866166436292</v>
      </c>
      <c r="W32" s="163">
        <f>V41</f>
        <v>10993.573897204446</v>
      </c>
    </row>
    <row r="33">
      <c r="B33" s="167" t="inlineStr">
        <is>
          <t>Activations - NEA Change</t>
        </is>
      </c>
      <c r="C33" s="118" t="inlineStr">
        <is>
          <t>$</t>
        </is>
      </c>
      <c r="E33" s="308" t="n">
        <v>6800</v>
      </c>
      <c r="F33" s="181" t="n">
        <v>1500</v>
      </c>
      <c r="G33" s="181" t="n">
        <v>1700</v>
      </c>
      <c r="H33" s="181" t="n">
        <v>1900</v>
      </c>
      <c r="I33" s="181" t="n">
        <v>1600</v>
      </c>
      <c r="J33" s="202">
        <f>SUM(F33:I33)</f>
        <v>6700.0</v>
      </c>
      <c r="K33" s="269" t="n">
        <v>1300</v>
      </c>
      <c r="L33" s="330">
        <f>L34*L44</f>
        <v>1932.2676000000001</v>
      </c>
      <c r="M33" s="330">
        <f>M34*M44</f>
        <v>1756.73784</v>
      </c>
      <c r="N33" s="330">
        <f>N34*N44</f>
        <v>1378.32294</v>
      </c>
      <c r="O33" s="202">
        <f>SUM(K33:N33)</f>
        <v>6367.32838</v>
      </c>
      <c r="P33" s="330">
        <f>P34*P44</f>
        <v>1481.90904</v>
      </c>
      <c r="Q33" s="330">
        <f>Q34*Q44</f>
        <v>1970.9129520000001</v>
      </c>
      <c r="R33" s="330">
        <f>R34*R44</f>
        <v>1791.8725968</v>
      </c>
      <c r="S33" s="330">
        <f>S34*S44</f>
        <v>1405.8893988</v>
      </c>
      <c r="T33" s="202">
        <f>SUM(P33:S33)</f>
        <v>6650.5839876</v>
      </c>
      <c r="U33" s="141">
        <f>U34*U44</f>
        <v>6783.595667352</v>
      </c>
      <c r="V33" s="141">
        <f>V34*V44</f>
        <v>6919.267580699041</v>
      </c>
      <c r="W33" s="141">
        <f>W34*W44</f>
        <v>7057.652932313022</v>
      </c>
    </row>
    <row r="34">
      <c r="B34" s="252" t="inlineStr">
        <is>
          <t>% of originations</t>
        </is>
      </c>
      <c r="C34" s="118" t="inlineStr">
        <is>
          <t>%</t>
        </is>
      </c>
      <c r="E34" s="386">
        <f>E33/E44</f>
        <v>1.0101689849302098</v>
      </c>
      <c r="F34" s="339">
        <f>F33/F44</f>
        <v>0.9941220874708143</v>
      </c>
      <c r="G34" s="339">
        <f>G33/G44</f>
        <v>0.8973912309040424</v>
      </c>
      <c r="H34" s="339">
        <f>H33/H44</f>
        <v>1.1031811098234214</v>
      </c>
      <c r="I34" s="339">
        <f>I33/I44</f>
        <v>1.1840476223953726</v>
      </c>
      <c r="J34" s="386">
        <f>J33/J44</f>
        <v>1.0344553932026708</v>
      </c>
      <c r="K34" s="387">
        <f>K33/K44</f>
        <v>0.8947917613081029</v>
      </c>
      <c r="L34" s="338" t="n">
        <v>1</v>
      </c>
      <c r="M34" s="339">
        <f>L34</f>
        <v>1.0</v>
      </c>
      <c r="N34" s="339">
        <f>M34</f>
        <v>1.0</v>
      </c>
      <c r="O34" s="386">
        <f>O33/O44</f>
        <v>0.97655709028099</v>
      </c>
      <c r="P34" s="339">
        <f>L34</f>
        <v>1.0</v>
      </c>
      <c r="Q34" s="339">
        <f>P34</f>
        <v>1.0</v>
      </c>
      <c r="R34" s="339">
        <f>Q34</f>
        <v>1.0</v>
      </c>
      <c r="S34" s="339">
        <f>R34</f>
        <v>1.0</v>
      </c>
      <c r="T34" s="386">
        <f>T33/T44</f>
        <v>1.0</v>
      </c>
      <c r="U34" s="386">
        <f>T34</f>
        <v>1.0</v>
      </c>
      <c r="V34" s="386">
        <f>U34</f>
        <v>1.0</v>
      </c>
      <c r="W34" s="386">
        <f>V34</f>
        <v>1.0</v>
      </c>
    </row>
    <row r="35">
      <c r="B35" s="167" t="inlineStr">
        <is>
          <t>Syndication - NEA Change</t>
        </is>
      </c>
      <c r="C35" s="118" t="inlineStr">
        <is>
          <t>$</t>
        </is>
      </c>
      <c r="E35" s="308" t="n">
        <v>-3500</v>
      </c>
      <c r="F35" s="181" t="n">
        <v>-600</v>
      </c>
      <c r="G35" s="181" t="n">
        <v>-600</v>
      </c>
      <c r="H35" s="181" t="n">
        <v>-600</v>
      </c>
      <c r="I35" s="181" t="n">
        <v>-700</v>
      </c>
      <c r="J35" s="202">
        <f>SUM(F35:I35)</f>
        <v>-2500.0</v>
      </c>
      <c r="K35" s="269" t="n">
        <v>-900</v>
      </c>
      <c r="L35" s="176" t="n">
        <v>-600</v>
      </c>
      <c r="M35" s="237">
        <f>L35</f>
        <v>-600.0</v>
      </c>
      <c r="N35" s="237">
        <f>M35</f>
        <v>-600.0</v>
      </c>
      <c r="O35" s="141">
        <f>SUM(K35:N35)</f>
        <v>-2700.0</v>
      </c>
      <c r="P35" s="237">
        <f>L35</f>
        <v>-600.0</v>
      </c>
      <c r="Q35" s="237">
        <f>P35</f>
        <v>-600.0</v>
      </c>
      <c r="R35" s="237">
        <f>Q35</f>
        <v>-600.0</v>
      </c>
      <c r="S35" s="237">
        <f>R35</f>
        <v>-600.0</v>
      </c>
      <c r="T35" s="141">
        <f>SUM(P35:S35)</f>
        <v>-2400.0</v>
      </c>
      <c r="U35" s="236">
        <f>T35</f>
        <v>-2400.0</v>
      </c>
      <c r="V35" s="236">
        <f>U35</f>
        <v>-2400.0</v>
      </c>
      <c r="W35" s="236">
        <f>V35</f>
        <v>-2400.0</v>
      </c>
    </row>
    <row r="36">
      <c r="B36" s="167" t="inlineStr">
        <is>
          <t>Ammoritization - NEA Change</t>
        </is>
      </c>
      <c r="C36" s="118" t="inlineStr">
        <is>
          <t>$</t>
        </is>
      </c>
      <c r="E36" s="308" t="n">
        <v>-2100</v>
      </c>
      <c r="F36" s="181" t="n">
        <v>-500</v>
      </c>
      <c r="G36" s="181" t="n">
        <v>-600</v>
      </c>
      <c r="H36" s="181" t="n">
        <v>-600</v>
      </c>
      <c r="I36" s="181" t="n">
        <v>-600</v>
      </c>
      <c r="J36" s="202">
        <f>SUM(F36:I36)</f>
        <v>-2300.0</v>
      </c>
      <c r="K36" s="269" t="n">
        <v>-600</v>
      </c>
      <c r="L36" s="225">
        <f>-L32*L37*L4/O4</f>
        <v>-631.2284309589041</v>
      </c>
      <c r="M36" s="225">
        <f>-M32*M37*M4/O4</f>
        <v>-676.0518045631075</v>
      </c>
      <c r="N36" s="225">
        <f>-N32*N37*N4/O4</f>
        <v>-697.2762828591574</v>
      </c>
      <c r="O36" s="141">
        <f>SUM(K36:N36)</f>
        <v>-2604.5565183811686</v>
      </c>
      <c r="P36" s="225">
        <f>-P32*P37*P4/T4</f>
        <v>-673.318814421119</v>
      </c>
      <c r="Q36" s="225">
        <f>-Q32*Q37*Q4/T4</f>
        <v>-681.4426363849246</v>
      </c>
      <c r="R36" s="225">
        <f>-R32*R37*R4/T4</f>
        <v>-725.9430189524189</v>
      </c>
      <c r="S36" s="225">
        <f>-S32*S37*S4/T4</f>
        <v>-746.0516664828114</v>
      </c>
      <c r="T36" s="141">
        <f>SUM(P36:S36)</f>
        <v>-2826.756136241274</v>
      </c>
      <c r="U36" s="193">
        <f>-U32*U37*U4/U4</f>
        <v>-2917.8302138932672</v>
      </c>
      <c r="V36" s="193">
        <f>-V32*V37*V4/V4</f>
        <v>-3117.5598499308876</v>
      </c>
      <c r="W36" s="193">
        <f>-W32*W37*W4/W4</f>
        <v>-3298.0721691613335</v>
      </c>
    </row>
    <row r="37">
      <c r="B37" s="252" t="inlineStr">
        <is>
          <t>% of NEA BOP</t>
        </is>
      </c>
      <c r="C37" s="118" t="inlineStr">
        <is>
          <t>%</t>
        </is>
      </c>
      <c r="E37" s="386">
        <f>-E36/E32*E4/E4</f>
        <v>0.2759406191555613</v>
      </c>
      <c r="F37" s="339">
        <f>-F36/F32*$J$4/F4</f>
        <v>0.2738861926481562</v>
      </c>
      <c r="G37" s="339">
        <f>-G36/G32*$J$4/G4</f>
        <v>0.31763077447472277</v>
      </c>
      <c r="H37" s="339">
        <f>-H36/H32*$J$4/H4</f>
        <v>0.28713961454430587</v>
      </c>
      <c r="I37" s="339">
        <f>-I36/I32*$J$4/I4</f>
        <v>0.27079801459501884</v>
      </c>
      <c r="J37" s="386">
        <f>-J36/J32*J4/J4</f>
        <v>0.310654476044758</v>
      </c>
      <c r="K37" s="387">
        <f>-K36/K32*O4/K4</f>
        <v>0.2747909320949823</v>
      </c>
      <c r="L37" s="388" t="n">
        <v>0.3</v>
      </c>
      <c r="M37" s="389">
        <f>L37</f>
        <v>0.3</v>
      </c>
      <c r="N37" s="389">
        <f>M37</f>
        <v>0.3</v>
      </c>
      <c r="O37" s="386">
        <f>-O36/O32*O4/O4</f>
        <v>0.29412678632055755</v>
      </c>
      <c r="P37" s="389">
        <f>L37</f>
        <v>0.3</v>
      </c>
      <c r="Q37" s="389">
        <f>P37</f>
        <v>0.3</v>
      </c>
      <c r="R37" s="389">
        <f>Q37</f>
        <v>0.3</v>
      </c>
      <c r="S37" s="389">
        <f>R37</f>
        <v>0.3</v>
      </c>
      <c r="T37" s="386">
        <f>-T36/T32*T4/T4</f>
        <v>0.3105549766762912</v>
      </c>
      <c r="U37" s="386">
        <f>P37</f>
        <v>0.3</v>
      </c>
      <c r="V37" s="386">
        <f>U37</f>
        <v>0.3</v>
      </c>
      <c r="W37" s="386">
        <f>V37</f>
        <v>0.3</v>
      </c>
    </row>
    <row r="38">
      <c r="B38" s="167" t="inlineStr">
        <is>
          <t>Disposition - NEA Change</t>
        </is>
      </c>
      <c r="C38" s="118" t="inlineStr">
        <is>
          <t>$</t>
        </is>
      </c>
      <c r="E38" s="308" t="n">
        <v>-1000</v>
      </c>
      <c r="F38" s="181" t="n">
        <v>-200</v>
      </c>
      <c r="G38" s="181" t="n">
        <v>-200</v>
      </c>
      <c r="H38" s="181" t="n">
        <v>-200</v>
      </c>
      <c r="I38" s="181" t="n">
        <v>-300</v>
      </c>
      <c r="J38" s="202">
        <f>SUM(F38:I38)</f>
        <v>-900.0</v>
      </c>
      <c r="K38" s="269" t="n">
        <v>-300</v>
      </c>
      <c r="L38" s="176" t="n">
        <v>-200</v>
      </c>
      <c r="M38" s="237">
        <f>L38</f>
        <v>-200.0</v>
      </c>
      <c r="N38" s="237">
        <f>M38</f>
        <v>-200.0</v>
      </c>
      <c r="O38" s="141">
        <f>SUM(K38:N38)</f>
        <v>-900.0</v>
      </c>
      <c r="P38" s="237">
        <f>L38</f>
        <v>-200.0</v>
      </c>
      <c r="Q38" s="237">
        <f>P38</f>
        <v>-200.0</v>
      </c>
      <c r="R38" s="237">
        <f>Q38</f>
        <v>-200.0</v>
      </c>
      <c r="S38" s="237">
        <f>R38</f>
        <v>-200.0</v>
      </c>
      <c r="T38" s="141">
        <f>SUM(P38:S38)</f>
        <v>-800.0</v>
      </c>
      <c r="U38" s="236">
        <f>T38</f>
        <v>-800.0</v>
      </c>
      <c r="V38" s="236">
        <f>U38</f>
        <v>-800.0</v>
      </c>
      <c r="W38" s="236">
        <f>V38</f>
        <v>-800.0</v>
      </c>
    </row>
    <row r="39">
      <c r="B39" s="167" t="inlineStr">
        <is>
          <t>FX - NEA Change</t>
        </is>
      </c>
      <c r="C39" s="118" t="inlineStr">
        <is>
          <t>$</t>
        </is>
      </c>
      <c r="E39" s="183" t="n">
        <v>-400</v>
      </c>
      <c r="F39" s="176" t="n">
        <v>0</v>
      </c>
      <c r="G39" s="176" t="n">
        <v>400</v>
      </c>
      <c r="H39" s="176" t="n">
        <v>0</v>
      </c>
      <c r="I39" s="176" t="n">
        <v>100</v>
      </c>
      <c r="J39" s="175">
        <f>SUM(F39,G39,H39,I39)</f>
        <v>500.0</v>
      </c>
      <c r="K39" s="269" t="n">
        <v>0</v>
      </c>
      <c r="L39" s="176" t="n">
        <v>0</v>
      </c>
      <c r="M39" s="176" t="n">
        <v>0</v>
      </c>
      <c r="N39" s="176" t="n">
        <v>0</v>
      </c>
      <c r="O39" s="175">
        <f>SUM(K39,L39,M39,N39)</f>
        <v>0.0</v>
      </c>
      <c r="P39" s="176" t="n">
        <v>0</v>
      </c>
      <c r="Q39" s="176" t="n">
        <v>0</v>
      </c>
      <c r="R39" s="176" t="n">
        <v>0</v>
      </c>
      <c r="S39" s="176" t="n">
        <v>0</v>
      </c>
      <c r="T39" s="175">
        <f>SUM(P39,Q39,R39,S39)</f>
        <v>0.0</v>
      </c>
      <c r="U39" s="189" t="n">
        <v>0</v>
      </c>
      <c r="V39" s="189" t="n">
        <v>0</v>
      </c>
      <c r="W39" s="189" t="n">
        <v>0</v>
      </c>
    </row>
    <row r="40">
      <c r="B40" s="167" t="inlineStr">
        <is>
          <t>Rounding (Calculated)</t>
        </is>
      </c>
      <c r="C40" s="118" t="inlineStr">
        <is>
          <t>$</t>
        </is>
      </c>
      <c r="E40" s="308" t="n">
        <v>-6.608999999999469</v>
      </c>
      <c r="F40" s="181" t="n">
        <v>-27.02300000000014</v>
      </c>
      <c r="G40" s="181" t="n">
        <v>13.46400000000085</v>
      </c>
      <c r="H40" s="181" t="n">
        <v>0.2789999999986321</v>
      </c>
      <c r="I40" s="181" t="n">
        <v>-35.22699999999895</v>
      </c>
      <c r="J40" s="141">
        <f>SUM(F40:I40)</f>
        <v>-48.50699999999961</v>
      </c>
      <c r="K40" s="269" t="n">
        <v>84.28399999999965</v>
      </c>
      <c r="L40" s="176" t="n">
        <v>0</v>
      </c>
      <c r="M40" s="176" t="n">
        <v>0</v>
      </c>
      <c r="N40" s="176" t="n">
        <v>0</v>
      </c>
      <c r="O40" s="175">
        <f>SUM(K40,L40,M40,N40)</f>
        <v>84.28399999999965</v>
      </c>
      <c r="P40" s="176" t="n">
        <v>0</v>
      </c>
      <c r="Q40" s="176" t="n">
        <v>0</v>
      </c>
      <c r="R40" s="176" t="n">
        <v>0</v>
      </c>
      <c r="S40" s="176" t="n">
        <v>0</v>
      </c>
      <c r="T40" s="175">
        <f>SUM(P40,Q40,R40,S40)</f>
        <v>0.0</v>
      </c>
      <c r="U40" s="189" t="n">
        <v>0</v>
      </c>
      <c r="V40" s="189" t="n">
        <v>0</v>
      </c>
      <c r="W40" s="189" t="n">
        <v>0</v>
      </c>
    </row>
    <row r="41">
      <c r="B41" s="306" t="inlineStr">
        <is>
          <t>Net Earning Assets - EOP</t>
        </is>
      </c>
      <c r="C41" s="118" t="inlineStr">
        <is>
          <t>$</t>
        </is>
      </c>
      <c r="E41" s="195">
        <f>E32+E33+E35+E36+E38+E39+E40</f>
        <v>7403.723999999999</v>
      </c>
      <c r="F41" s="231">
        <f>F32+F33+F35+F36+F38+F39+F40</f>
        <v>7576.701</v>
      </c>
      <c r="G41" s="231">
        <f>G32+G33+G35+G36+G38+G39+G40</f>
        <v>8290.165</v>
      </c>
      <c r="H41" s="231">
        <f>H32+H33+H35+H36+H38+H39+H40</f>
        <v>8790.444</v>
      </c>
      <c r="I41" s="231">
        <f>I32+I33+I35+I36+I38+I39+I40</f>
        <v>8855.217</v>
      </c>
      <c r="J41" s="195">
        <f>J32+J33+J35+J36+J38+J39+J40</f>
        <v>8855.217</v>
      </c>
      <c r="K41" s="197">
        <f>K32+K33+K35+K36+K38+K39+K40</f>
        <v>8439.501</v>
      </c>
      <c r="L41" s="231">
        <f>L32+L33+L35+L36+L38+L39+L40</f>
        <v>8940.540169041094</v>
      </c>
      <c r="M41" s="231">
        <f>M32+M33+M35+M36+M38+M39+M40</f>
        <v>9221.226204477987</v>
      </c>
      <c r="N41" s="231">
        <f>N32+N33+N35+N36+N38+N39+N40</f>
        <v>9102.27286161883</v>
      </c>
      <c r="O41" s="195">
        <f>O32+O33+O35+O36+O38+O39+O40</f>
        <v>9102.27286161883</v>
      </c>
      <c r="P41" s="231">
        <f>P32+P33+P35+P36+P38+P39+P40</f>
        <v>9110.863087197711</v>
      </c>
      <c r="Q41" s="231">
        <f>Q32+Q33+Q35+Q36+Q38+Q39+Q40</f>
        <v>9600.333402812787</v>
      </c>
      <c r="R41" s="231">
        <f>R32+R33+R35+R36+R38+R39+R40</f>
        <v>9866.262980660367</v>
      </c>
      <c r="S41" s="231">
        <f>S32+S33+S35+S36+S38+S39+S40</f>
        <v>9726.100712977555</v>
      </c>
      <c r="T41" s="195">
        <f>T32+T33+T35+T36+T38+T39+T40</f>
        <v>9726.100712977557</v>
      </c>
      <c r="U41" s="195">
        <f>U32+U33+U35+U36+U38+U39+U40</f>
        <v>10391.866166436292</v>
      </c>
      <c r="V41" s="195">
        <f>V32+V33+V35+V36+V38+V39+V40</f>
        <v>10993.573897204446</v>
      </c>
      <c r="W41" s="195">
        <f>W32+W33+W35+W36+W38+W39+W40</f>
        <v>11553.154660356133</v>
      </c>
    </row>
    <row r="42">
      <c r="B42" s="264" t="inlineStr">
        <is>
          <t>Avg. Net Earning Assets</t>
        </is>
      </c>
      <c r="C42" s="118" t="inlineStr">
        <is>
          <t>$</t>
        </is>
      </c>
      <c r="E42" s="199" t="n">
        <v>7980.144</v>
      </c>
      <c r="F42" s="200" t="n">
        <v>7618.35</v>
      </c>
      <c r="G42" s="200" t="n">
        <v>7987.751</v>
      </c>
      <c r="H42" s="200" t="n">
        <v>8532.704</v>
      </c>
      <c r="I42" s="200" t="n">
        <v>8793.407999999999</v>
      </c>
      <c r="J42" s="199" t="n">
        <v>8233.053</v>
      </c>
      <c r="K42" s="230" t="n">
        <v>8839.618</v>
      </c>
      <c r="L42" s="223">
        <f>AVERAGE(L32,L41)</f>
        <v>8690.020584520547</v>
      </c>
      <c r="M42" s="223">
        <f>AVERAGE(M32,M41)</f>
        <v>9080.88318675954</v>
      </c>
      <c r="N42" s="223">
        <f>AVERAGE(N32,N41)</f>
        <v>9161.749533048409</v>
      </c>
      <c r="O42" s="195">
        <f>(K42*K4+L42*L4+M42*M4+N42*N4)/O4</f>
        <v>8944.327954558084</v>
      </c>
      <c r="P42" s="223">
        <f>AVERAGE(P32,P41)</f>
        <v>9106.56797440827</v>
      </c>
      <c r="Q42" s="223">
        <f>AVERAGE(Q32,Q41)</f>
        <v>9355.598245005249</v>
      </c>
      <c r="R42" s="223">
        <f>AVERAGE(R32,R41)</f>
        <v>9733.298191736576</v>
      </c>
      <c r="S42" s="223">
        <f>AVERAGE(S32,S41)</f>
        <v>9796.181846818961</v>
      </c>
      <c r="T42" s="195">
        <f>(P42*P4+Q42*Q4+R42*R4+S42*S4)/T4</f>
        <v>9500.445812436523</v>
      </c>
      <c r="U42" s="194">
        <f>AVERAGE(U32,U41)</f>
        <v>10058.983439706924</v>
      </c>
      <c r="V42" s="194">
        <f>AVERAGE(V32,V41)</f>
        <v>10692.720031820369</v>
      </c>
      <c r="W42" s="194">
        <f>AVERAGE(W32,W41)</f>
        <v>11273.36427878029</v>
      </c>
    </row>
    <row r="44">
      <c r="B44" s="306" t="inlineStr">
        <is>
          <t>Originations</t>
        </is>
      </c>
      <c r="C44" s="118" t="inlineStr">
        <is>
          <t>$</t>
        </is>
      </c>
      <c r="D44" s="214" t="inlineStr">
        <is>
          <t>GRAB HISTORICAL ORIGINATIONS TO SHOW GROWTH</t>
        </is>
      </c>
      <c r="E44" s="199" t="n">
        <v>6731.547</v>
      </c>
      <c r="F44" s="69" t="n">
        <v>1508.869</v>
      </c>
      <c r="G44" s="69" t="n">
        <v>1894.38</v>
      </c>
      <c r="H44" s="69" t="n">
        <v>1722.292</v>
      </c>
      <c r="I44" s="69" t="n">
        <v>1351.297</v>
      </c>
      <c r="J44" s="199" t="n">
        <v>6476.838</v>
      </c>
      <c r="K44" s="230" t="n">
        <v>1452.852</v>
      </c>
      <c r="L44" s="231">
        <f>G44*(1+L45)</f>
        <v>1932.2676000000001</v>
      </c>
      <c r="M44" s="231">
        <f>H44*(1+M45)</f>
        <v>1756.73784</v>
      </c>
      <c r="N44" s="231">
        <f>I44*(1+N45)</f>
        <v>1378.32294</v>
      </c>
      <c r="O44" s="195">
        <f>SUM(K44:N44)</f>
        <v>6520.18038</v>
      </c>
      <c r="P44" s="231">
        <f>K44*(1+P45)</f>
        <v>1481.90904</v>
      </c>
      <c r="Q44" s="231">
        <f>L44*(1+Q45)</f>
        <v>1970.9129520000001</v>
      </c>
      <c r="R44" s="231">
        <f>M44*(1+R45)</f>
        <v>1791.8725968</v>
      </c>
      <c r="S44" s="231">
        <f>N44*(1+S45)</f>
        <v>1405.8893988</v>
      </c>
      <c r="T44" s="195">
        <f>O44*(1+T45)</f>
        <v>6650.5839876</v>
      </c>
      <c r="U44" s="195">
        <f>T44*(1+U45)</f>
        <v>6783.595667352</v>
      </c>
      <c r="V44" s="195">
        <f>U44*(1+V45)</f>
        <v>6919.267580699041</v>
      </c>
      <c r="W44" s="195">
        <f>V44*(1+W45)</f>
        <v>7057.652932313022</v>
      </c>
    </row>
    <row r="45">
      <c r="B45" s="320" t="inlineStr">
        <is>
          <t>% y/y change</t>
        </is>
      </c>
      <c r="C45" s="118" t="inlineStr">
        <is>
          <t>%</t>
        </is>
      </c>
      <c r="D45" s="169" t="n"/>
      <c r="E45" s="169" t="n">
        <v>0</v>
      </c>
      <c r="F45" s="170" t="n">
        <v>0</v>
      </c>
      <c r="G45" s="170" t="n">
        <v>0</v>
      </c>
      <c r="H45" s="170" t="n">
        <v>0</v>
      </c>
      <c r="I45" s="170" t="n">
        <v>0</v>
      </c>
      <c r="J45" s="335">
        <f>J44/E44-1</f>
        <v>-0.037838107644498464</v>
      </c>
      <c r="K45" s="337">
        <f>K44/F44-1</f>
        <v>-0.037125157982568324</v>
      </c>
      <c r="L45" s="338" t="n">
        <v>0.02</v>
      </c>
      <c r="M45" s="339">
        <f>L45</f>
        <v>0.02</v>
      </c>
      <c r="N45" s="339">
        <f>M45</f>
        <v>0.02</v>
      </c>
      <c r="O45" s="390">
        <f>O44/J44-1</f>
        <v>0.006691904290334172</v>
      </c>
      <c r="P45" s="339">
        <f>L45</f>
        <v>0.02</v>
      </c>
      <c r="Q45" s="339">
        <f>P45</f>
        <v>0.02</v>
      </c>
      <c r="R45" s="339">
        <f>Q45</f>
        <v>0.02</v>
      </c>
      <c r="S45" s="339">
        <f>R45</f>
        <v>0.02</v>
      </c>
      <c r="T45" s="386">
        <f>AVERAGE(P45:S45)</f>
        <v>0.02</v>
      </c>
      <c r="U45" s="386">
        <f>T45</f>
        <v>0.02</v>
      </c>
      <c r="V45" s="386">
        <f>U45</f>
        <v>0.02</v>
      </c>
      <c r="W45" s="386">
        <f>V45</f>
        <v>0.02</v>
      </c>
    </row>
    <row r="47">
      <c r="B47" s="306" t="inlineStr">
        <is>
          <t>Interest Income Yield</t>
        </is>
      </c>
      <c r="C47" s="118" t="inlineStr">
        <is>
          <t>%</t>
        </is>
      </c>
      <c r="E47" s="209">
        <f>E50/E42*E4/E4</f>
        <v>0.07876837811448013</v>
      </c>
      <c r="F47" s="211">
        <f>F50/F42*$J$4/F4</f>
        <v>0.07810658184223326</v>
      </c>
      <c r="G47" s="211">
        <f>G50/G42*$J$4/G4</f>
        <v>0.07799728760797778</v>
      </c>
      <c r="H47" s="211">
        <f>H50/H42*$J$4/H4</f>
        <v>0.07495714366339411</v>
      </c>
      <c r="I47" s="211">
        <f>I50/I42*$J$4/I4</f>
        <v>0.06801867697494184</v>
      </c>
      <c r="J47" s="209">
        <f>J50/J42*J4/J4</f>
        <v>0.07457998873564885</v>
      </c>
      <c r="K47" s="210">
        <f>K50/K42*$O$4/K4</f>
        <v>0.07015175567792886</v>
      </c>
      <c r="L47" s="278" t="n">
        <v>0.07000000000000001</v>
      </c>
      <c r="M47" s="212">
        <f>L47</f>
        <v>0.07</v>
      </c>
      <c r="N47" s="212">
        <f>M47</f>
        <v>0.07</v>
      </c>
      <c r="O47" s="209">
        <f>O50/O42*O4/O4</f>
        <v>0.07003698114699393</v>
      </c>
      <c r="P47" s="212">
        <f>O47</f>
        <v>0.07003698114699393</v>
      </c>
      <c r="Q47" s="212">
        <f>P47</f>
        <v>0.07003698114699393</v>
      </c>
      <c r="R47" s="212">
        <f>Q47</f>
        <v>0.07003698114699393</v>
      </c>
      <c r="S47" s="212">
        <f>R47</f>
        <v>0.07003698114699393</v>
      </c>
      <c r="T47" s="209">
        <f>T50/T42*T4/T4</f>
        <v>0.07003698114699394</v>
      </c>
      <c r="U47" s="213">
        <f>T47</f>
        <v>0.07003698114699394</v>
      </c>
      <c r="V47" s="213">
        <f>U47</f>
        <v>0.07003698114699394</v>
      </c>
      <c r="W47" s="213">
        <f>V47</f>
        <v>0.07003698114699394</v>
      </c>
    </row>
    <row r="48">
      <c r="B48" s="306" t="inlineStr">
        <is>
          <t>Rental Revenue Yield</t>
        </is>
      </c>
      <c r="C48" s="118" t="inlineStr">
        <is>
          <t>%</t>
        </is>
      </c>
      <c r="E48" s="391">
        <f>E53/E42*$E$4/E4</f>
        <v>0.1124429584228054</v>
      </c>
      <c r="F48" s="392">
        <f>F53/F42*$J$4/F4</f>
        <v>0.11884765803035506</v>
      </c>
      <c r="G48" s="392">
        <f>G53/G42*$J$4/G4</f>
        <v>0.12294657074395451</v>
      </c>
      <c r="H48" s="392">
        <f>H53/H42*$J$4/H4</f>
        <v>0.11817777556339346</v>
      </c>
      <c r="I48" s="392">
        <f>I53/I42*$J$4/I4</f>
        <v>0.11678288613668233</v>
      </c>
      <c r="J48" s="391">
        <f>J53/J42*J4/J4</f>
        <v>0.11916660806143238</v>
      </c>
      <c r="K48" s="393">
        <f>K53/K42*O4/K4</f>
        <v>0.13017427776730725</v>
      </c>
      <c r="L48" s="278" t="n">
        <v>0.13</v>
      </c>
      <c r="M48" s="212">
        <f>L48</f>
        <v>0.13</v>
      </c>
      <c r="N48" s="212">
        <f>M48</f>
        <v>0.13</v>
      </c>
      <c r="O48" s="391">
        <f>O53/O42*O4/O4</f>
        <v>0.13004246952613913</v>
      </c>
      <c r="P48" s="212">
        <f>O48</f>
        <v>0.13004246952613913</v>
      </c>
      <c r="Q48" s="212">
        <f>P48</f>
        <v>0.13004246952613913</v>
      </c>
      <c r="R48" s="212">
        <f>Q48</f>
        <v>0.13004246952613913</v>
      </c>
      <c r="S48" s="212">
        <f>R48</f>
        <v>0.13004246952613913</v>
      </c>
      <c r="T48" s="391">
        <f>T53/T42*T4/T4</f>
        <v>0.13004246952613918</v>
      </c>
      <c r="U48" s="213">
        <f>T48</f>
        <v>0.13004246952613918</v>
      </c>
      <c r="V48" s="213">
        <f>U48</f>
        <v>0.13004246952613918</v>
      </c>
      <c r="W48" s="213">
        <f>V48</f>
        <v>0.13004246952613918</v>
      </c>
    </row>
    <row r="50">
      <c r="B50" s="306" t="inlineStr">
        <is>
          <t>Interest Income</t>
        </is>
      </c>
      <c r="C50" s="118" t="inlineStr">
        <is>
          <t>$</t>
        </is>
      </c>
      <c r="D50" s="199" t="n">
        <v>521.5027405877262</v>
      </c>
      <c r="E50" s="199" t="n">
        <v>628.583</v>
      </c>
      <c r="F50" s="200" t="n">
        <v>146.723</v>
      </c>
      <c r="G50" s="200" t="n">
        <v>155.329</v>
      </c>
      <c r="H50" s="200" t="n">
        <v>161.211</v>
      </c>
      <c r="I50" s="200" t="n">
        <v>150.7579999999999</v>
      </c>
      <c r="J50" s="232">
        <f>SUM(F50:I50)</f>
        <v>614.021</v>
      </c>
      <c r="K50" s="230" t="n">
        <v>152.905</v>
      </c>
      <c r="L50" s="231">
        <f>L42*L47*L4/$O$4</f>
        <v>151.65871540656408</v>
      </c>
      <c r="M50" s="231">
        <f>M42*M47*M4/$O$4</f>
        <v>160.22161019926423</v>
      </c>
      <c r="N50" s="231">
        <f>N42*N47*N4/$O$4</f>
        <v>161.648402720087</v>
      </c>
      <c r="O50" s="232">
        <f>SUM(K50:N50)</f>
        <v>626.4337283259154</v>
      </c>
      <c r="P50" s="231">
        <f>P42*P47*P4/$T$4</f>
        <v>157.26489769416594</v>
      </c>
      <c r="Q50" s="231">
        <f>Q42*Q47*Q4/$T$4</f>
        <v>163.36067142271145</v>
      </c>
      <c r="R50" s="231">
        <f>R42*R47*R4/$T$4</f>
        <v>171.82344005383746</v>
      </c>
      <c r="S50" s="231">
        <f>S42*S47*S4/$T$4</f>
        <v>172.93353508293947</v>
      </c>
      <c r="T50" s="232">
        <f>SUM(P50:S50)</f>
        <v>665.3825442536543</v>
      </c>
      <c r="U50" s="195">
        <f>U42*U47*U4/U4</f>
        <v>704.5008335246781</v>
      </c>
      <c r="V50" s="195">
        <f>V42*V47*V4/V4</f>
        <v>748.8858312786875</v>
      </c>
      <c r="W50" s="195">
        <f>W42*W47*W4/W4</f>
        <v>789.55240145613</v>
      </c>
    </row>
    <row r="51">
      <c r="B51" s="320" t="inlineStr">
        <is>
          <t>% y/y change</t>
        </is>
      </c>
      <c r="C51" s="118" t="inlineStr">
        <is>
          <t>%</t>
        </is>
      </c>
      <c r="D51" s="114" t="n">
        <v>0</v>
      </c>
      <c r="E51" s="335">
        <f>E50/D50-1</f>
        <v>0.20533019498918814</v>
      </c>
      <c r="F51" s="336" t="n">
        <v>0</v>
      </c>
      <c r="G51" s="336" t="n">
        <v>0</v>
      </c>
      <c r="H51" s="336" t="n">
        <v>0</v>
      </c>
      <c r="I51" s="336" t="n">
        <v>0</v>
      </c>
      <c r="J51" s="335">
        <f>J50/E50-1</f>
        <v>-0.023166391709607215</v>
      </c>
      <c r="K51" s="337">
        <f>K50/F50-1</f>
        <v>0.04213381678400796</v>
      </c>
      <c r="L51" s="336">
        <f>L50/G50-1</f>
        <v>-0.023629100769566036</v>
      </c>
      <c r="M51" s="336">
        <f>M50/H50-1</f>
        <v>-0.00613723505676278</v>
      </c>
      <c r="N51" s="336">
        <f>N50/I50-1</f>
        <v>0.0722376439067054</v>
      </c>
      <c r="O51" s="335">
        <f>O50/J50-1</f>
        <v>0.020215478503040396</v>
      </c>
      <c r="P51" s="336">
        <f>P50/K50-1</f>
        <v>0.028513767987743632</v>
      </c>
      <c r="Q51" s="336">
        <f>Q50/L50-1</f>
        <v>0.07715979912382198</v>
      </c>
      <c r="R51" s="336">
        <f>R50/M50-1</f>
        <v>0.07241114254278358</v>
      </c>
      <c r="S51" s="336">
        <f>S50/N50-1</f>
        <v>0.0698128294060163</v>
      </c>
      <c r="T51" s="335">
        <f>T50/O50-1</f>
        <v>0.06217547709607829</v>
      </c>
      <c r="U51" s="335">
        <f>U50/T50-1</f>
        <v>0.05879067554274675</v>
      </c>
      <c r="V51" s="335">
        <f>V50/U50-1</f>
        <v>0.06300205144108562</v>
      </c>
      <c r="W51" s="335">
        <f>W50/V50-1</f>
        <v>0.054302763490672756</v>
      </c>
    </row>
    <row r="52" ht="5.1" customHeight="1" s="20"/>
    <row r="53">
      <c r="B53" s="306" t="inlineStr">
        <is>
          <t>Rental Revenue</t>
        </is>
      </c>
      <c r="C53" s="118" t="inlineStr">
        <is>
          <t>$</t>
        </is>
      </c>
      <c r="D53" s="199" t="n">
        <v>803.2844545029208</v>
      </c>
      <c r="E53" s="199" t="n">
        <v>897.311</v>
      </c>
      <c r="F53" s="200" t="n">
        <v>223.255</v>
      </c>
      <c r="G53" s="200" t="n">
        <v>244.844</v>
      </c>
      <c r="H53" s="200" t="n">
        <v>254.166</v>
      </c>
      <c r="I53" s="200" t="n">
        <v>258.84</v>
      </c>
      <c r="J53" s="199" t="n">
        <v>981.105</v>
      </c>
      <c r="K53" s="230" t="n">
        <v>283.732</v>
      </c>
      <c r="L53" s="231">
        <f>L48*L42*L4/$O$4</f>
        <v>281.65190004076186</v>
      </c>
      <c r="M53" s="231">
        <f>M48*M42*M4/$O$4</f>
        <v>297.55441894149067</v>
      </c>
      <c r="N53" s="231">
        <f>N48*N42*N4/$O$4</f>
        <v>300.20417648016155</v>
      </c>
      <c r="O53" s="232">
        <f>SUM(K53:N53)</f>
        <v>1163.142495462414</v>
      </c>
      <c r="P53" s="231">
        <f>P48*P42*P4/$T$4</f>
        <v>292.0045286218444</v>
      </c>
      <c r="Q53" s="231">
        <f>Q48*Q42*Q4/$T$4</f>
        <v>303.32297005593296</v>
      </c>
      <c r="R53" s="231">
        <f>R48*R42*R4/$T$4</f>
        <v>319.03637337224944</v>
      </c>
      <c r="S53" s="231">
        <f>S48*S42*S4/$T$4</f>
        <v>321.09756299848607</v>
      </c>
      <c r="T53" s="232">
        <f>SUM(P53:S53)</f>
        <v>1235.461435048513</v>
      </c>
      <c r="U53" s="195">
        <f>U48*U42*U4/U4</f>
        <v>1308.0950474220265</v>
      </c>
      <c r="V53" s="195">
        <f>V48*V42*V4/V4</f>
        <v>1390.5077188895382</v>
      </c>
      <c r="W53" s="195">
        <f>W48*W42*W4/W4</f>
        <v>1466.0161306803516</v>
      </c>
    </row>
    <row r="54">
      <c r="B54" s="320" t="inlineStr">
        <is>
          <t>% y/y change</t>
        </is>
      </c>
      <c r="C54" s="118" t="inlineStr">
        <is>
          <t>%</t>
        </is>
      </c>
      <c r="D54" s="114" t="n">
        <v>0</v>
      </c>
      <c r="E54" s="335">
        <f>E53/D53-1</f>
        <v>0.11705261438834103</v>
      </c>
      <c r="F54" s="336" t="n">
        <v>0</v>
      </c>
      <c r="G54" s="336" t="n">
        <v>0</v>
      </c>
      <c r="H54" s="336" t="n">
        <v>0</v>
      </c>
      <c r="I54" s="336" t="n">
        <v>0</v>
      </c>
      <c r="J54" s="335">
        <f>J53/E53-1</f>
        <v>0.0933834534514788</v>
      </c>
      <c r="K54" s="337">
        <f>K53/F53-1</f>
        <v>0.27088755011085985</v>
      </c>
      <c r="L54" s="336">
        <f>L53/G53-1</f>
        <v>0.15033204832775926</v>
      </c>
      <c r="M54" s="336">
        <f>M53/H53-1</f>
        <v>0.17070898130155365</v>
      </c>
      <c r="N54" s="336">
        <f>N53/I53-1</f>
        <v>0.15980596693000115</v>
      </c>
      <c r="O54" s="335">
        <f>O53/J53-1</f>
        <v>0.18554333681146673</v>
      </c>
      <c r="P54" s="336">
        <f>P53/K53-1</f>
        <v>0.02915613544416673</v>
      </c>
      <c r="Q54" s="336">
        <f>Q53/L53-1</f>
        <v>0.07694274390492217</v>
      </c>
      <c r="R54" s="336">
        <f>R53/M53-1</f>
        <v>0.07219504421133416</v>
      </c>
      <c r="S54" s="336">
        <f>S53/N53-1</f>
        <v>0.06959725465280209</v>
      </c>
      <c r="T54" s="335">
        <f>T53/O53-1</f>
        <v>0.062175477096078735</v>
      </c>
      <c r="U54" s="335">
        <f>U53/T53-1</f>
        <v>0.05879067554274675</v>
      </c>
      <c r="V54" s="335">
        <f>V53/U53-1</f>
        <v>0.06300205144108562</v>
      </c>
      <c r="W54" s="335">
        <f>W53/V53-1</f>
        <v>0.054302763490672756</v>
      </c>
    </row>
    <row r="56">
      <c r="B56" s="307" t="inlineStr">
        <is>
          <t>Depreciation of equipment under operating leases</t>
        </is>
      </c>
      <c r="C56" s="118" t="inlineStr">
        <is>
          <t>$</t>
        </is>
      </c>
      <c r="D56" s="308" t="n">
        <v>-483.4015864972002</v>
      </c>
      <c r="E56" s="308" t="n">
        <v>-523.4400000000001</v>
      </c>
      <c r="F56" s="181" t="n">
        <v>-130.208</v>
      </c>
      <c r="G56" s="181" t="n">
        <v>-140.554</v>
      </c>
      <c r="H56" s="181" t="n">
        <v>-150.066</v>
      </c>
      <c r="I56" s="181" t="n">
        <v>-152.284</v>
      </c>
      <c r="J56" s="202">
        <f>SUM(F56:I56)</f>
        <v>-573.112</v>
      </c>
      <c r="K56" s="269" t="n">
        <v>-170.106</v>
      </c>
      <c r="L56" s="330">
        <f>K56</f>
        <v>-170.106</v>
      </c>
      <c r="M56" s="330">
        <f>L56</f>
        <v>-170.106</v>
      </c>
      <c r="N56" s="330">
        <f>M56</f>
        <v>-170.106</v>
      </c>
      <c r="O56" s="141">
        <f>SUM(K56:N56)</f>
        <v>-680.424</v>
      </c>
      <c r="P56" s="330">
        <f>K56+$Y$56/4</f>
        <v>-180.106</v>
      </c>
      <c r="Q56" s="330">
        <f>L56+$Y$56/4</f>
        <v>-180.106</v>
      </c>
      <c r="R56" s="330">
        <f>M56+$Y$56/4</f>
        <v>-180.106</v>
      </c>
      <c r="S56" s="330">
        <f>N56+$Y$56/4</f>
        <v>-180.106</v>
      </c>
      <c r="T56" s="141">
        <f>SUM(P56:S56)</f>
        <v>-720.424</v>
      </c>
      <c r="U56" s="141">
        <f>T56+$Y$56</f>
        <v>-760.424</v>
      </c>
      <c r="V56" s="141">
        <f>U56+$Y$56</f>
        <v>-800.424</v>
      </c>
      <c r="W56" s="141">
        <f>V56+$Y$56</f>
        <v>-840.424</v>
      </c>
      <c r="Y56" s="247" t="n">
        <v>-40</v>
      </c>
    </row>
    <row r="57">
      <c r="B57" s="307" t="inlineStr">
        <is>
          <t>Interest Expense</t>
        </is>
      </c>
      <c r="C57" s="118" t="inlineStr">
        <is>
          <t>$</t>
        </is>
      </c>
      <c r="D57" s="308" t="n">
        <v>-430.6705315233152</v>
      </c>
      <c r="E57" s="308" t="n">
        <v>-553.324</v>
      </c>
      <c r="F57" s="181" t="n">
        <v>-128.214</v>
      </c>
      <c r="G57" s="181" t="n">
        <v>-132.537</v>
      </c>
      <c r="H57" s="181" t="n">
        <v>-135.103</v>
      </c>
      <c r="I57" s="181" t="n">
        <v>-127.843</v>
      </c>
      <c r="J57" s="202">
        <f>SUM(F57:I57)</f>
        <v>-523.697</v>
      </c>
      <c r="K57" s="269" t="n">
        <v>-129.013</v>
      </c>
      <c r="L57" s="330">
        <f>-'Debt Build'!L10*'Debt Build'!L13*'Debt Build'!L4/'Debt Build'!$O$4</f>
        <v>-138.9639341979897</v>
      </c>
      <c r="M57" s="330">
        <f>-'Debt Build'!M10*'Debt Build'!M13*'Debt Build'!M4/'Debt Build'!$O$4</f>
        <v>-146.064020283337</v>
      </c>
      <c r="N57" s="330">
        <f>-'Debt Build'!N10*'Debt Build'!N13*'Debt Build'!N4/'Debt Build'!$O$4</f>
        <v>-147.36473777982442</v>
      </c>
      <c r="O57" s="202">
        <f>SUM(K57:N57)</f>
        <v>-561.4056922611511</v>
      </c>
      <c r="P57" s="330">
        <f>-'Debt Build'!P10*'Debt Build'!P13*'Debt Build'!P4/'Debt Build'!$O$4</f>
        <v>-143.29286850913778</v>
      </c>
      <c r="Q57" s="330">
        <f>-'Debt Build'!Q10*'Debt Build'!Q13*'Debt Build'!Q4/'Debt Build'!$O$4</f>
        <v>-148.84706983539044</v>
      </c>
      <c r="R57" s="330">
        <f>-'Debt Build'!R10*'Debt Build'!R13*'Debt Build'!R4/'Debt Build'!$O$4</f>
        <v>-156.55797297056722</v>
      </c>
      <c r="S57" s="330">
        <f>-'Debt Build'!S10*'Debt Build'!S13*'Debt Build'!S4/'Debt Build'!$O$4</f>
        <v>-157.5694428113902</v>
      </c>
      <c r="T57" s="202">
        <f>SUM(P57:S57)</f>
        <v>-606.2673541264857</v>
      </c>
      <c r="U57" s="141">
        <f>-'Debt Build'!U10*'Debt Build'!U13*'Debt Build'!U4/'Debt Build'!U4</f>
        <v>-641.9102214350951</v>
      </c>
      <c r="V57" s="141">
        <f>-'Debt Build'!V10*'Debt Build'!V13*'Debt Build'!V4/'Debt Build'!V4</f>
        <v>-682.3518822265077</v>
      </c>
      <c r="W57" s="141">
        <f>-'Debt Build'!W10*'Debt Build'!W13*'Debt Build'!W4/'Debt Build'!W4</f>
        <v>-719.4054751044691</v>
      </c>
    </row>
    <row r="59">
      <c r="B59" s="89" t="inlineStr">
        <is>
          <t>Net Financing Revenue</t>
        </is>
      </c>
      <c r="C59" s="147" t="inlineStr">
        <is>
          <t>$</t>
        </is>
      </c>
      <c r="D59" s="234">
        <f>D50+D53+D56+D57</f>
        <v>410.7150770701315</v>
      </c>
      <c r="E59" s="234">
        <f>E50+E53+E56+E57</f>
        <v>449.13</v>
      </c>
      <c r="F59" s="234">
        <f>F50+F53+F56+F57</f>
        <v>111.55600000000001</v>
      </c>
      <c r="G59" s="234">
        <f>G50+G53+G56+G57</f>
        <v>127.08200000000002</v>
      </c>
      <c r="H59" s="234">
        <f>H50+H53+H56+H57</f>
        <v>130.20800000000003</v>
      </c>
      <c r="I59" s="234">
        <f>I50+I53+I56+I57</f>
        <v>129.47099999999995</v>
      </c>
      <c r="J59" s="234">
        <f>J50+J53+J56+J57</f>
        <v>498.317</v>
      </c>
      <c r="K59" s="235">
        <f>K50+K53+K56+K57</f>
        <v>137.51800000000006</v>
      </c>
      <c r="L59" s="234">
        <f>L50+L53+L56+L57</f>
        <v>124.24068124933629</v>
      </c>
      <c r="M59" s="234">
        <f>M50+M53+M56+M57</f>
        <v>141.6060088574179</v>
      </c>
      <c r="N59" s="234">
        <f>N50+N53+N56+N57</f>
        <v>144.38184142042414</v>
      </c>
      <c r="O59" s="234">
        <f>O50+O53+O56+O57</f>
        <v>547.7465315271783</v>
      </c>
      <c r="P59" s="234">
        <f>P50+P53+P56+P57</f>
        <v>125.87055780687254</v>
      </c>
      <c r="Q59" s="234">
        <f>Q50+Q53+Q56+Q57</f>
        <v>137.73057164325397</v>
      </c>
      <c r="R59" s="234">
        <f>R50+R53+R56+R57</f>
        <v>154.19584045551971</v>
      </c>
      <c r="S59" s="234">
        <f>S50+S53+S56+S57</f>
        <v>156.35565527003533</v>
      </c>
      <c r="T59" s="234">
        <f>T50+T53+T56+T57</f>
        <v>574.1526251756817</v>
      </c>
      <c r="U59" s="234">
        <f>U50+U53+U56+U57</f>
        <v>610.2616595116097</v>
      </c>
      <c r="V59" s="234">
        <f>V50+V53+V56+V57</f>
        <v>656.6176679417182</v>
      </c>
      <c r="W59" s="235">
        <f>W50+W53+W56+W57</f>
        <v>695.7390570320126</v>
      </c>
    </row>
    <row r="60">
      <c r="B60" s="137" t="inlineStr">
        <is>
          <t>% y/y change</t>
        </is>
      </c>
      <c r="C60" s="108" t="inlineStr">
        <is>
          <t>%</t>
        </is>
      </c>
      <c r="D60" s="109" t="n">
        <v>0</v>
      </c>
      <c r="E60" s="366">
        <f>E59/D59-1</f>
        <v>0.0935318060488659</v>
      </c>
      <c r="F60" s="366" t="n">
        <v>0</v>
      </c>
      <c r="G60" s="366" t="n">
        <v>0</v>
      </c>
      <c r="H60" s="366" t="n">
        <v>0</v>
      </c>
      <c r="I60" s="366" t="n">
        <v>0</v>
      </c>
      <c r="J60" s="366">
        <f>J59/E59-1</f>
        <v>0.10951617571749828</v>
      </c>
      <c r="K60" s="367">
        <f>K59/F59-1</f>
        <v>0.2327261644375922</v>
      </c>
      <c r="L60" s="366">
        <f>L59/G59-1</f>
        <v>-0.02235815261534857</v>
      </c>
      <c r="M60" s="366">
        <f>M59/H59-1</f>
        <v>0.08753693211951541</v>
      </c>
      <c r="N60" s="366">
        <f>N59/I59-1</f>
        <v>0.11516742297830551</v>
      </c>
      <c r="O60" s="366">
        <f>O59/J59-1</f>
        <v>0.09919294651231692</v>
      </c>
      <c r="P60" s="366" t="n">
        <v>0.05</v>
      </c>
      <c r="Q60" s="366" t="n">
        <v>0.06</v>
      </c>
      <c r="R60" s="366" t="n">
        <v>0.07000000000000001</v>
      </c>
      <c r="S60" s="366" t="n">
        <v>0.05</v>
      </c>
      <c r="T60" s="366">
        <f>T59/O59-1</f>
        <v>0.048208600381056455</v>
      </c>
      <c r="U60" s="366">
        <f>U59/T59-1</f>
        <v>0.06289100276233905</v>
      </c>
      <c r="V60" s="366">
        <f>V59/U59-1</f>
        <v>0.07596087302487109</v>
      </c>
      <c r="W60" s="367">
        <f>W59/V59-1</f>
        <v>0.05958016514073883</v>
      </c>
    </row>
    <row r="62">
      <c r="A62" s="305" t="inlineStr">
        <is>
          <t>x</t>
        </is>
      </c>
      <c r="B62" s="75" t="inlineStr">
        <is>
          <t>Syndication Revenue</t>
        </is>
      </c>
      <c r="C62" s="76" t="n"/>
      <c r="D62" s="154" t="n"/>
      <c r="E62" s="154" t="n"/>
      <c r="F62" s="154" t="n"/>
      <c r="G62" s="154" t="n"/>
      <c r="H62" s="154" t="n"/>
      <c r="I62" s="154" t="n"/>
      <c r="J62" s="154" t="n"/>
      <c r="K62" s="155" t="n"/>
      <c r="L62" s="156" t="n"/>
      <c r="M62" s="156" t="n"/>
      <c r="N62" s="156" t="n"/>
      <c r="O62" s="157" t="n"/>
      <c r="P62" s="157" t="n"/>
      <c r="Q62" s="157" t="n"/>
      <c r="R62" s="157" t="n"/>
      <c r="S62" s="157" t="n"/>
      <c r="T62" s="157" t="n"/>
      <c r="U62" s="157" t="n"/>
      <c r="V62" s="157" t="n"/>
      <c r="W62" s="157" t="n"/>
    </row>
    <row r="63" ht="5.1" customHeight="1" s="20"/>
    <row r="64">
      <c r="B64" s="89" t="inlineStr">
        <is>
          <t>Syndication Revenue</t>
        </is>
      </c>
      <c r="C64" s="147" t="inlineStr">
        <is>
          <t>$</t>
        </is>
      </c>
      <c r="D64" s="238" t="n">
        <v>45.55352144515619</v>
      </c>
      <c r="E64" s="238" t="n">
        <v>42.89</v>
      </c>
      <c r="F64" s="238" t="n">
        <v>11.633</v>
      </c>
      <c r="G64" s="238" t="n">
        <v>11.608</v>
      </c>
      <c r="H64" s="238" t="n">
        <v>20.012</v>
      </c>
      <c r="I64" s="238" t="n">
        <v>21.08799999999999</v>
      </c>
      <c r="J64" s="234">
        <f>SUM(F64:I64)</f>
        <v>64.341</v>
      </c>
      <c r="K64" s="239" t="n">
        <v>23.873</v>
      </c>
      <c r="L64" s="238" t="n">
        <v>20</v>
      </c>
      <c r="M64" s="234">
        <f>L64</f>
        <v>20.0</v>
      </c>
      <c r="N64" s="234">
        <f>M64</f>
        <v>20.0</v>
      </c>
      <c r="O64" s="234">
        <f>SUM(K64:N64)</f>
        <v>83.873</v>
      </c>
      <c r="P64" s="234">
        <f>L64</f>
        <v>20.0</v>
      </c>
      <c r="Q64" s="234">
        <f>P64</f>
        <v>20.0</v>
      </c>
      <c r="R64" s="234">
        <f>Q64</f>
        <v>20.0</v>
      </c>
      <c r="S64" s="234">
        <f>R64</f>
        <v>20.0</v>
      </c>
      <c r="T64" s="234">
        <f>SUM(P64:S64)</f>
        <v>80.0</v>
      </c>
      <c r="U64" s="234">
        <f>T64</f>
        <v>80.0</v>
      </c>
      <c r="V64" s="234">
        <f>U64</f>
        <v>80.0</v>
      </c>
      <c r="W64" s="235">
        <f>V64</f>
        <v>80.0</v>
      </c>
    </row>
    <row r="65">
      <c r="B65" s="137" t="inlineStr">
        <is>
          <t>% y/y change</t>
        </is>
      </c>
      <c r="C65" s="108" t="inlineStr">
        <is>
          <t>%</t>
        </is>
      </c>
      <c r="D65" s="109" t="n">
        <v>0</v>
      </c>
      <c r="E65" s="366">
        <f>E64/D64-1</f>
        <v>-0.0584701546808607</v>
      </c>
      <c r="F65" s="366" t="n">
        <v>0</v>
      </c>
      <c r="G65" s="366" t="n">
        <v>0</v>
      </c>
      <c r="H65" s="366" t="n">
        <v>0</v>
      </c>
      <c r="I65" s="366" t="n">
        <v>0</v>
      </c>
      <c r="J65" s="366">
        <f>J64/E64-1</f>
        <v>0.5001398927488923</v>
      </c>
      <c r="K65" s="367">
        <f>K64/F64-1</f>
        <v>1.0521791455342564</v>
      </c>
      <c r="L65" s="366">
        <f>L64/G64-1</f>
        <v>0.7229496898690557</v>
      </c>
      <c r="M65" s="366">
        <f>M64/H64-1</f>
        <v>-0.000599640215870445</v>
      </c>
      <c r="N65" s="366">
        <f>N64/I64-1</f>
        <v>-0.05159332321699517</v>
      </c>
      <c r="O65" s="366">
        <f>O64/J64-1</f>
        <v>0.30357004087595807</v>
      </c>
      <c r="P65" s="366" t="n">
        <v>0.05</v>
      </c>
      <c r="Q65" s="366" t="n">
        <v>0.06</v>
      </c>
      <c r="R65" s="366" t="n">
        <v>0.07000000000000001</v>
      </c>
      <c r="S65" s="366" t="n">
        <v>0.05</v>
      </c>
      <c r="T65" s="366">
        <f>T64/O64-1</f>
        <v>-0.046176958019863434</v>
      </c>
      <c r="U65" s="366">
        <f>U64/T64-1</f>
        <v>0.0</v>
      </c>
      <c r="V65" s="366">
        <f>V64/U64-1</f>
        <v>0.0</v>
      </c>
      <c r="W65" s="367">
        <f>W64/V64-1</f>
        <v>0.0</v>
      </c>
    </row>
    <row r="66" ht="5.1" customHeight="1" s="20"/>
    <row r="67">
      <c r="A67" s="305" t="inlineStr">
        <is>
          <t>x</t>
        </is>
      </c>
      <c r="B67" s="75" t="inlineStr">
        <is>
          <t>Net Revenue</t>
        </is>
      </c>
      <c r="C67" s="76" t="n"/>
      <c r="D67" s="154" t="n"/>
      <c r="E67" s="154" t="n"/>
      <c r="F67" s="154" t="n"/>
      <c r="G67" s="154" t="n"/>
      <c r="H67" s="154" t="n"/>
      <c r="I67" s="154" t="n"/>
      <c r="J67" s="154" t="n"/>
      <c r="K67" s="155" t="n"/>
      <c r="L67" s="156" t="n"/>
      <c r="M67" s="156" t="n"/>
      <c r="N67" s="156" t="n"/>
      <c r="O67" s="157" t="n"/>
      <c r="P67" s="157" t="n"/>
      <c r="Q67" s="157" t="n"/>
      <c r="R67" s="157" t="n"/>
      <c r="S67" s="157" t="n"/>
      <c r="T67" s="157" t="n"/>
      <c r="U67" s="157" t="n"/>
      <c r="V67" s="157" t="n"/>
      <c r="W67" s="157" t="n"/>
    </row>
    <row r="68" ht="5.1" customHeight="1" s="20"/>
    <row r="69">
      <c r="B69" s="244" t="inlineStr">
        <is>
          <t>Service Revenue</t>
        </is>
      </c>
      <c r="C69" s="147" t="inlineStr">
        <is>
          <t>$</t>
        </is>
      </c>
      <c r="D69" s="245">
        <f>D27</f>
        <v>502.4317917629153</v>
      </c>
      <c r="E69" s="245">
        <f>E27</f>
        <v>595.54</v>
      </c>
      <c r="F69" s="245">
        <f>F27</f>
        <v>152.482</v>
      </c>
      <c r="G69" s="245">
        <f>G27</f>
        <v>151.33599999999998</v>
      </c>
      <c r="H69" s="245">
        <f>H27</f>
        <v>156.17000000000002</v>
      </c>
      <c r="I69" s="245">
        <f>I27</f>
        <v>162.86400000000003</v>
      </c>
      <c r="J69" s="245">
        <f>J27</f>
        <v>622.8520000000001</v>
      </c>
      <c r="K69" s="246">
        <f>K27</f>
        <v>162.125</v>
      </c>
      <c r="L69" s="245">
        <f>L27</f>
        <v>168.45724396289026</v>
      </c>
      <c r="M69" s="245">
        <f>M27</f>
        <v>174.39249941226427</v>
      </c>
      <c r="N69" s="245">
        <f>N27</f>
        <v>176.09542052097999</v>
      </c>
      <c r="O69" s="245">
        <f>O27</f>
        <v>681.0701638961345</v>
      </c>
      <c r="P69" s="245">
        <f>P27</f>
        <v>176.26842664556972</v>
      </c>
      <c r="Q69" s="245">
        <f>Q27</f>
        <v>185.93077850079686</v>
      </c>
      <c r="R69" s="245">
        <f>R27</f>
        <v>193.55419908482514</v>
      </c>
      <c r="S69" s="245">
        <f>S27</f>
        <v>193.07174898282219</v>
      </c>
      <c r="T69" s="245">
        <f>T27</f>
        <v>755.942758731395</v>
      </c>
      <c r="U69" s="245">
        <f>U27</f>
        <v>841.296333483158</v>
      </c>
      <c r="V69" s="245">
        <f>V27</f>
        <v>927.017545944622</v>
      </c>
      <c r="W69" s="246">
        <f>W27</f>
        <v>1011.2991674188288</v>
      </c>
    </row>
    <row r="70">
      <c r="B70" s="137" t="inlineStr">
        <is>
          <t>% y/y change</t>
        </is>
      </c>
      <c r="C70" s="108" t="inlineStr">
        <is>
          <t>%</t>
        </is>
      </c>
      <c r="D70" s="109" t="n">
        <v>0</v>
      </c>
      <c r="E70" s="366">
        <f>E69/D69-1</f>
        <v>0.18531512090504831</v>
      </c>
      <c r="F70" s="366" t="n">
        <v>0</v>
      </c>
      <c r="G70" s="366" t="n">
        <v>0</v>
      </c>
      <c r="H70" s="366" t="n">
        <v>0</v>
      </c>
      <c r="I70" s="366" t="n">
        <v>0</v>
      </c>
      <c r="J70" s="366">
        <f>J69/E69-1</f>
        <v>0.045860899351849005</v>
      </c>
      <c r="K70" s="367">
        <f>K69/F69-1</f>
        <v>0.0632402513083512</v>
      </c>
      <c r="L70" s="366">
        <f>L69/G69-1</f>
        <v>0.11313397977275907</v>
      </c>
      <c r="M70" s="366">
        <f>M69/H69-1</f>
        <v>0.11668373831250722</v>
      </c>
      <c r="N70" s="366">
        <f>N69/I69-1</f>
        <v>0.08124214388066076</v>
      </c>
      <c r="O70" s="366">
        <f>O69/J69-1</f>
        <v>0.09347030096416886</v>
      </c>
      <c r="P70" s="366" t="n">
        <v>0.05</v>
      </c>
      <c r="Q70" s="366" t="n">
        <v>0.06</v>
      </c>
      <c r="R70" s="366" t="n">
        <v>0.07000000000000001</v>
      </c>
      <c r="S70" s="366" t="n">
        <v>0.05</v>
      </c>
      <c r="T70" s="366">
        <f>T69/O69-1</f>
        <v>0.10993374663036737</v>
      </c>
      <c r="U70" s="366">
        <f>U69/T69-1</f>
        <v>0.11291010300171589</v>
      </c>
      <c r="V70" s="366">
        <f>V69/U69-1</f>
        <v>0.10189181748428489</v>
      </c>
      <c r="W70" s="367">
        <f>W69/V69-1</f>
        <v>0.09091696467117516</v>
      </c>
    </row>
    <row r="71" ht="5.1" customHeight="1" s="20"/>
    <row r="72">
      <c r="B72" s="244" t="inlineStr">
        <is>
          <t>Net Financing Revenue</t>
        </is>
      </c>
      <c r="C72" s="147" t="inlineStr">
        <is>
          <t>$</t>
        </is>
      </c>
      <c r="D72" s="245">
        <f>D59</f>
        <v>410.7150770701315</v>
      </c>
      <c r="E72" s="245">
        <f>E59</f>
        <v>449.13</v>
      </c>
      <c r="F72" s="245">
        <f>F59</f>
        <v>111.55600000000001</v>
      </c>
      <c r="G72" s="245">
        <f>G59</f>
        <v>127.08200000000002</v>
      </c>
      <c r="H72" s="245">
        <f>H59</f>
        <v>130.20800000000003</v>
      </c>
      <c r="I72" s="245">
        <f>I59</f>
        <v>129.47099999999995</v>
      </c>
      <c r="J72" s="245">
        <f>J59</f>
        <v>498.317</v>
      </c>
      <c r="K72" s="246">
        <f>K59</f>
        <v>137.51800000000006</v>
      </c>
      <c r="L72" s="245">
        <f>L59</f>
        <v>124.24068124933629</v>
      </c>
      <c r="M72" s="245">
        <f>M59</f>
        <v>141.6060088574179</v>
      </c>
      <c r="N72" s="245">
        <f>N59</f>
        <v>144.38184142042414</v>
      </c>
      <c r="O72" s="245">
        <f>O59</f>
        <v>547.7465315271783</v>
      </c>
      <c r="P72" s="245">
        <f>P59</f>
        <v>125.87055780687254</v>
      </c>
      <c r="Q72" s="245">
        <f>Q59</f>
        <v>137.73057164325397</v>
      </c>
      <c r="R72" s="245">
        <f>R59</f>
        <v>154.19584045551971</v>
      </c>
      <c r="S72" s="245">
        <f>S59</f>
        <v>156.35565527003533</v>
      </c>
      <c r="T72" s="245">
        <f>T59</f>
        <v>574.1526251756817</v>
      </c>
      <c r="U72" s="245">
        <f>U59</f>
        <v>610.2616595116097</v>
      </c>
      <c r="V72" s="245">
        <f>V59</f>
        <v>656.6176679417182</v>
      </c>
      <c r="W72" s="246">
        <f>W59</f>
        <v>695.7390570320126</v>
      </c>
    </row>
    <row r="73">
      <c r="B73" s="137" t="inlineStr">
        <is>
          <t>% y/y change</t>
        </is>
      </c>
      <c r="C73" s="108" t="inlineStr">
        <is>
          <t>%</t>
        </is>
      </c>
      <c r="D73" s="109" t="n">
        <v>0</v>
      </c>
      <c r="E73" s="366">
        <f>E72/D72-1</f>
        <v>0.0935318060488659</v>
      </c>
      <c r="F73" s="366" t="n">
        <v>0</v>
      </c>
      <c r="G73" s="366" t="n">
        <v>0</v>
      </c>
      <c r="H73" s="366" t="n">
        <v>0</v>
      </c>
      <c r="I73" s="366" t="n">
        <v>0</v>
      </c>
      <c r="J73" s="366">
        <f>J72/E72-1</f>
        <v>0.10951617571749828</v>
      </c>
      <c r="K73" s="367">
        <f>K72/F72-1</f>
        <v>0.2327261644375922</v>
      </c>
      <c r="L73" s="366">
        <f>L72/G72-1</f>
        <v>-0.02235815261534857</v>
      </c>
      <c r="M73" s="366">
        <f>M72/H72-1</f>
        <v>0.08753693211951541</v>
      </c>
      <c r="N73" s="366">
        <f>N72/I72-1</f>
        <v>0.11516742297830551</v>
      </c>
      <c r="O73" s="366">
        <f>O72/J72-1</f>
        <v>0.09919294651231692</v>
      </c>
      <c r="P73" s="366" t="n">
        <v>0.05</v>
      </c>
      <c r="Q73" s="366" t="n">
        <v>0.06</v>
      </c>
      <c r="R73" s="366" t="n">
        <v>0.07000000000000001</v>
      </c>
      <c r="S73" s="366" t="n">
        <v>0.05</v>
      </c>
      <c r="T73" s="366">
        <f>T72/O72-1</f>
        <v>0.048208600381056455</v>
      </c>
      <c r="U73" s="366">
        <f>U72/T72-1</f>
        <v>0.06289100276233905</v>
      </c>
      <c r="V73" s="366">
        <f>V72/U72-1</f>
        <v>0.07596087302487109</v>
      </c>
      <c r="W73" s="367">
        <f>W72/V72-1</f>
        <v>0.05958016514073883</v>
      </c>
    </row>
    <row r="74" ht="5.1" customHeight="1" s="20"/>
    <row r="75">
      <c r="B75" s="244" t="inlineStr">
        <is>
          <t>Syndication Revenue</t>
        </is>
      </c>
      <c r="C75" s="147" t="inlineStr">
        <is>
          <t>$</t>
        </is>
      </c>
      <c r="D75" s="245">
        <f>D64</f>
        <v>45.553521445156186</v>
      </c>
      <c r="E75" s="245">
        <f>E64</f>
        <v>42.89</v>
      </c>
      <c r="F75" s="245">
        <f>F64</f>
        <v>11.633</v>
      </c>
      <c r="G75" s="245">
        <f>G64</f>
        <v>11.608</v>
      </c>
      <c r="H75" s="245">
        <f>H64</f>
        <v>20.012</v>
      </c>
      <c r="I75" s="245">
        <f>I64</f>
        <v>21.087999999999994</v>
      </c>
      <c r="J75" s="245">
        <f>J64</f>
        <v>64.341</v>
      </c>
      <c r="K75" s="246">
        <f>K64</f>
        <v>23.873</v>
      </c>
      <c r="L75" s="245">
        <f>L64</f>
        <v>20.0</v>
      </c>
      <c r="M75" s="245">
        <f>M64</f>
        <v>20.0</v>
      </c>
      <c r="N75" s="245">
        <f>N64</f>
        <v>20.0</v>
      </c>
      <c r="O75" s="245">
        <f>O64</f>
        <v>83.873</v>
      </c>
      <c r="P75" s="245">
        <f>P64</f>
        <v>20.0</v>
      </c>
      <c r="Q75" s="245">
        <f>Q64</f>
        <v>20.0</v>
      </c>
      <c r="R75" s="245">
        <f>R64</f>
        <v>20.0</v>
      </c>
      <c r="S75" s="245">
        <f>S64</f>
        <v>20.0</v>
      </c>
      <c r="T75" s="245">
        <f>T64</f>
        <v>80.0</v>
      </c>
      <c r="U75" s="245">
        <f>U64</f>
        <v>80.0</v>
      </c>
      <c r="V75" s="245">
        <f>V64</f>
        <v>80.0</v>
      </c>
      <c r="W75" s="246">
        <f>W64</f>
        <v>80.0</v>
      </c>
    </row>
    <row r="76">
      <c r="B76" s="137" t="inlineStr">
        <is>
          <t>% y/y change</t>
        </is>
      </c>
      <c r="C76" s="108" t="inlineStr">
        <is>
          <t>%</t>
        </is>
      </c>
      <c r="D76" s="109" t="n">
        <v>0</v>
      </c>
      <c r="E76" s="366">
        <f>E75/D75-1</f>
        <v>-0.0584701546808607</v>
      </c>
      <c r="F76" s="366" t="n">
        <v>0</v>
      </c>
      <c r="G76" s="366" t="n">
        <v>0</v>
      </c>
      <c r="H76" s="366" t="n">
        <v>0</v>
      </c>
      <c r="I76" s="366" t="n">
        <v>0</v>
      </c>
      <c r="J76" s="366">
        <f>J75/E75-1</f>
        <v>0.5001398927488923</v>
      </c>
      <c r="K76" s="367">
        <f>K75/F75-1</f>
        <v>1.0521791455342564</v>
      </c>
      <c r="L76" s="366">
        <f>L75/G75-1</f>
        <v>0.7229496898690557</v>
      </c>
      <c r="M76" s="366">
        <f>M75/H75-1</f>
        <v>-0.000599640215870445</v>
      </c>
      <c r="N76" s="366">
        <f>N75/I75-1</f>
        <v>-0.05159332321699517</v>
      </c>
      <c r="O76" s="366">
        <f>O75/J75-1</f>
        <v>0.30357004087595807</v>
      </c>
      <c r="P76" s="366" t="n">
        <v>0.05</v>
      </c>
      <c r="Q76" s="366" t="n">
        <v>0.06</v>
      </c>
      <c r="R76" s="366" t="n">
        <v>0.07000000000000001</v>
      </c>
      <c r="S76" s="366" t="n">
        <v>0.05</v>
      </c>
      <c r="T76" s="366">
        <f>T75/O75-1</f>
        <v>-0.046176958019863434</v>
      </c>
      <c r="U76" s="366">
        <f>U75/T75-1</f>
        <v>0.0</v>
      </c>
      <c r="V76" s="366">
        <f>V75/U75-1</f>
        <v>0.0</v>
      </c>
      <c r="W76" s="367">
        <f>W75/V75-1</f>
        <v>0.0</v>
      </c>
    </row>
    <row r="78">
      <c r="B78" s="89" t="inlineStr">
        <is>
          <t>Net Revenue</t>
        </is>
      </c>
      <c r="C78" s="147" t="inlineStr">
        <is>
          <t>$</t>
        </is>
      </c>
      <c r="D78" s="234">
        <f>D69+D72+D75</f>
        <v>958.7003902782029</v>
      </c>
      <c r="E78" s="234">
        <f>E69+E72+E75</f>
        <v>1087.5600000000002</v>
      </c>
      <c r="F78" s="234">
        <f>F69+F72+F75</f>
        <v>275.671</v>
      </c>
      <c r="G78" s="234">
        <f>G69+G72+G75</f>
        <v>290.026</v>
      </c>
      <c r="H78" s="234">
        <f>H69+H72+H75</f>
        <v>306.39000000000004</v>
      </c>
      <c r="I78" s="234">
        <f>I69+I72+I75</f>
        <v>313.423</v>
      </c>
      <c r="J78" s="234">
        <f>J69+J72+J75</f>
        <v>1185.51</v>
      </c>
      <c r="K78" s="235">
        <f>K69+K72+K75</f>
        <v>323.516</v>
      </c>
      <c r="L78" s="234">
        <f>L69+L72+L75</f>
        <v>312.69792521222655</v>
      </c>
      <c r="M78" s="234">
        <f>M69+M72+M75</f>
        <v>335.99850826968213</v>
      </c>
      <c r="N78" s="234">
        <f>N69+N72+N75</f>
        <v>340.4772619414041</v>
      </c>
      <c r="O78" s="234">
        <f>O69+O72+O75</f>
        <v>1312.689695423313</v>
      </c>
      <c r="P78" s="234">
        <f>P69+P72+P75</f>
        <v>322.1389844524423</v>
      </c>
      <c r="Q78" s="234">
        <f>Q69+Q72+Q75</f>
        <v>343.66135014405086</v>
      </c>
      <c r="R78" s="234">
        <f>R69+R72+R75</f>
        <v>367.75003954034486</v>
      </c>
      <c r="S78" s="234">
        <f>S69+S72+S75</f>
        <v>369.4274042528575</v>
      </c>
      <c r="T78" s="234">
        <f>T69+T72+T75</f>
        <v>1410.0953839070767</v>
      </c>
      <c r="U78" s="234">
        <f>U69+U72+U75</f>
        <v>1531.5579929947676</v>
      </c>
      <c r="V78" s="234">
        <f>V69+V72+V75</f>
        <v>1663.6352138863404</v>
      </c>
      <c r="W78" s="235">
        <f>W69+W72+W75</f>
        <v>1787.0382244508414</v>
      </c>
    </row>
    <row r="79">
      <c r="B79" s="137" t="inlineStr">
        <is>
          <t>% y/y change</t>
        </is>
      </c>
      <c r="C79" s="108" t="inlineStr">
        <is>
          <t>%</t>
        </is>
      </c>
      <c r="D79" s="109" t="n">
        <v>0</v>
      </c>
      <c r="E79" s="366">
        <f>E78/D78-1</f>
        <v>0.1344107200002327</v>
      </c>
      <c r="F79" s="366" t="n">
        <v>0</v>
      </c>
      <c r="G79" s="366" t="n">
        <v>0</v>
      </c>
      <c r="H79" s="366" t="n">
        <v>0</v>
      </c>
      <c r="I79" s="366" t="n">
        <v>0</v>
      </c>
      <c r="J79" s="366">
        <f>J78/E78-1</f>
        <v>0.09006399646916008</v>
      </c>
      <c r="K79" s="367">
        <f>K78/F78-1</f>
        <v>0.1735583358423629</v>
      </c>
      <c r="L79" s="366">
        <f>L78/G78-1</f>
        <v>0.07817204392787724</v>
      </c>
      <c r="M79" s="366">
        <f>M78/H78-1</f>
        <v>0.09663666656771452</v>
      </c>
      <c r="N79" s="366">
        <f>N78/I78-1</f>
        <v>0.08631868733757275</v>
      </c>
      <c r="O79" s="366">
        <f>O78/J78-1</f>
        <v>0.10727846700855581</v>
      </c>
      <c r="P79" s="366" t="n">
        <v>0.05</v>
      </c>
      <c r="Q79" s="366" t="n">
        <v>0.06</v>
      </c>
      <c r="R79" s="366" t="n">
        <v>0.07000000000000001</v>
      </c>
      <c r="S79" s="366" t="n">
        <v>0.05</v>
      </c>
      <c r="T79" s="366">
        <f>T78/O78-1</f>
        <v>0.07420313332493444</v>
      </c>
      <c r="U79" s="366">
        <f>U78/T78-1</f>
        <v>0.08613786732011253</v>
      </c>
      <c r="V79" s="366">
        <f>V78/U78-1</f>
        <v>0.08623716600721898</v>
      </c>
      <c r="W79" s="367">
        <f>W78/V78-1</f>
        <v>0.0741767242809348</v>
      </c>
    </row>
    <row r="80">
      <c r="A80" s="305" t="inlineStr">
        <is>
          <t>x</t>
        </is>
      </c>
    </row>
  </sheetData>
  <pageMargins left="0.7" right="0.7" top="0.75" bottom="0.75" header="0.3" footer="0.3"/>
  <legacyDrawing r:id="anysvml"/>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W14"/>
  <sheetViews>
    <sheetView showGridLines="0" zoomScale="130" zoomScaleNormal="130" workbookViewId="0">
      <pane xSplit="3" ySplit="2" topLeftCell="D3" activePane="bottomRight" state="frozen"/>
      <selection pane="topRight" activeCell="D1" sqref="D1"/>
      <selection pane="bottomLeft" activeCell="A3" sqref="A3"/>
      <selection pane="bottomRight" activeCell="C1" sqref="C1"/>
    </sheetView>
  </sheetViews>
  <sheetFormatPr baseColWidth="8" defaultColWidth="8.7109375" defaultRowHeight="15"/>
  <cols>
    <col width="8.7109375" customWidth="1" style="307" min="1" max="1"/>
    <col width="49.140625" bestFit="1" customWidth="1" style="307" min="2" max="2"/>
    <col width="8.7109375" customWidth="1" style="307" min="3" max="3"/>
    <col width="10.5703125" customWidth="1" style="294" min="4" max="5"/>
    <col outlineLevel="1" width="10.5703125" customWidth="1" style="307" min="6" max="9"/>
    <col width="10.5703125" customWidth="1" style="294" min="10" max="10"/>
    <col outlineLevel="1" width="10.5703125" customWidth="1" style="73" min="11" max="11"/>
    <col outlineLevel="1" width="10.5703125" customWidth="1" style="307" min="12" max="14"/>
    <col width="10.5703125" customWidth="1" style="294" min="15" max="15"/>
    <col outlineLevel="1" width="10.5703125" customWidth="1" style="307" min="16" max="19"/>
    <col width="10.5703125" customWidth="1" style="294" min="20" max="23"/>
    <col width="8.7109375" customWidth="1" style="307" min="24" max="24"/>
    <col width="9.5703125" bestFit="1" customWidth="1" style="307" min="25" max="25"/>
    <col width="8.7109375" customWidth="1" style="307" min="26" max="16384"/>
  </cols>
  <sheetData>
    <row r="1">
      <c r="D1" s="307" t="n"/>
      <c r="E1" s="307" t="n"/>
      <c r="J1" s="307" t="n"/>
      <c r="O1" s="307" t="n"/>
      <c r="T1" s="307" t="n"/>
      <c r="U1" s="307" t="n"/>
      <c r="V1" s="307" t="n"/>
      <c r="W1" s="307" t="n"/>
    </row>
    <row r="2" ht="18.75" customHeight="1" s="20">
      <c r="A2" s="305" t="inlineStr">
        <is>
          <t>x</t>
        </is>
      </c>
      <c r="B2" s="74" t="inlineStr">
        <is>
          <t>EFN Debt Build</t>
        </is>
      </c>
      <c r="D2" s="307" t="n"/>
      <c r="E2" s="307" t="n"/>
      <c r="J2" s="307" t="n"/>
      <c r="O2" s="307" t="n"/>
      <c r="T2" s="307" t="n"/>
      <c r="U2" s="307" t="n"/>
      <c r="V2" s="307" t="n"/>
      <c r="W2" s="307" t="n"/>
    </row>
    <row r="3">
      <c r="D3" s="307" t="n"/>
      <c r="E3" s="307" t="n"/>
      <c r="J3" s="307" t="n"/>
      <c r="O3" s="307" t="n"/>
      <c r="T3" s="307" t="n"/>
      <c r="U3" s="307" t="n"/>
      <c r="V3" s="307" t="n"/>
      <c r="W3" s="307" t="n"/>
    </row>
    <row r="4">
      <c r="D4" s="307" t="n">
        <v>365</v>
      </c>
      <c r="E4" s="307" t="n">
        <v>366</v>
      </c>
      <c r="F4" s="307" t="n">
        <v>90</v>
      </c>
      <c r="G4" s="307" t="n">
        <v>91</v>
      </c>
      <c r="H4" s="307" t="n">
        <v>92</v>
      </c>
      <c r="I4" s="307" t="n">
        <v>92</v>
      </c>
      <c r="J4" s="307" t="n">
        <v>365</v>
      </c>
      <c r="K4" s="73" t="n">
        <v>90</v>
      </c>
      <c r="L4" s="307" t="n">
        <v>91</v>
      </c>
      <c r="M4" s="307" t="n">
        <v>92</v>
      </c>
      <c r="N4" s="307" t="n">
        <v>92</v>
      </c>
      <c r="O4" s="307" t="n">
        <v>365</v>
      </c>
      <c r="P4" s="307" t="n">
        <v>90</v>
      </c>
      <c r="Q4" s="307" t="n">
        <v>91</v>
      </c>
      <c r="R4" s="307" t="n">
        <v>92</v>
      </c>
      <c r="S4" s="307" t="n">
        <v>92</v>
      </c>
      <c r="T4" s="307" t="n">
        <v>365</v>
      </c>
      <c r="U4" s="307" t="n">
        <v>366</v>
      </c>
      <c r="V4" s="307" t="n">
        <v>365</v>
      </c>
      <c r="W4" s="307" t="n">
        <v>365</v>
      </c>
    </row>
    <row r="5">
      <c r="A5" s="305" t="inlineStr">
        <is>
          <t>x</t>
        </is>
      </c>
      <c r="B5" s="75" t="inlineStr">
        <is>
          <t>Debt Build</t>
        </is>
      </c>
      <c r="C5" s="76" t="inlineStr">
        <is>
          <t>Units</t>
        </is>
      </c>
      <c r="D5" s="77" t="n">
        <v>2023</v>
      </c>
      <c r="E5" s="77">
        <f>D5+1</f>
        <v>2024.0</v>
      </c>
      <c r="F5" s="78" t="inlineStr">
        <is>
          <t>Q1'25A</t>
        </is>
      </c>
      <c r="G5" s="79" t="inlineStr">
        <is>
          <t>Q2'25A</t>
        </is>
      </c>
      <c r="H5" s="79" t="inlineStr">
        <is>
          <t>Q3'25A</t>
        </is>
      </c>
      <c r="I5" s="79" t="inlineStr">
        <is>
          <t>Q4'25A</t>
        </is>
      </c>
      <c r="J5" s="77">
        <f>E5+1</f>
        <v>2025.0</v>
      </c>
      <c r="K5" s="78" t="inlineStr">
        <is>
          <t>Q1'26A</t>
        </is>
      </c>
      <c r="L5" s="79" t="inlineStr">
        <is>
          <t>Q2'26E</t>
        </is>
      </c>
      <c r="M5" s="79" t="inlineStr">
        <is>
          <t>Q3'26E</t>
        </is>
      </c>
      <c r="N5" s="79" t="inlineStr">
        <is>
          <t>Q4'26E</t>
        </is>
      </c>
      <c r="O5" s="80">
        <f>J5+1</f>
        <v>2026.0</v>
      </c>
      <c r="P5" s="78" t="inlineStr">
        <is>
          <t>Q1'27E</t>
        </is>
      </c>
      <c r="Q5" s="79" t="inlineStr">
        <is>
          <t>Q2'27E</t>
        </is>
      </c>
      <c r="R5" s="79" t="inlineStr">
        <is>
          <t>Q3'27E</t>
        </is>
      </c>
      <c r="S5" s="79" t="inlineStr">
        <is>
          <t>Q4'27E</t>
        </is>
      </c>
      <c r="T5" s="80">
        <f>O5+1</f>
        <v>2027.0</v>
      </c>
      <c r="U5" s="80">
        <f>T5+1</f>
        <v>2028.0</v>
      </c>
      <c r="V5" s="80">
        <f>U5+1</f>
        <v>2029.0</v>
      </c>
      <c r="W5" s="80">
        <f>V5+1</f>
        <v>2030.0</v>
      </c>
    </row>
    <row r="6" ht="5.1" customHeight="1" s="20">
      <c r="D6" s="307" t="n"/>
      <c r="E6" s="307" t="n"/>
      <c r="J6" s="307" t="n"/>
      <c r="O6" s="307" t="n"/>
      <c r="T6" s="307" t="n"/>
      <c r="U6" s="307" t="n"/>
      <c r="V6" s="307" t="n"/>
      <c r="W6" s="307" t="n"/>
    </row>
    <row r="7">
      <c r="B7" s="306" t="inlineStr">
        <is>
          <t>Total debt - BOP, mm</t>
        </is>
      </c>
      <c r="C7" s="118" t="inlineStr">
        <is>
          <t>$</t>
        </is>
      </c>
      <c r="E7" s="222" t="n">
        <v>8064.097</v>
      </c>
      <c r="F7" s="223">
        <f>E9</f>
        <v>8331.106</v>
      </c>
      <c r="G7" s="223">
        <f>F9</f>
        <v>8908.953</v>
      </c>
      <c r="H7" s="223">
        <f>G9</f>
        <v>9296.691</v>
      </c>
      <c r="I7" s="223">
        <f>H9</f>
        <v>9344.838</v>
      </c>
      <c r="J7" s="220">
        <f>E9</f>
        <v>8331.106</v>
      </c>
      <c r="K7" s="224">
        <f>J9</f>
        <v>9538.652</v>
      </c>
      <c r="L7" s="231">
        <f>K9</f>
        <v>9381.099</v>
      </c>
      <c r="M7" s="231">
        <f>L9</f>
        <v>9834.594185945205</v>
      </c>
      <c r="N7" s="231">
        <f>M9</f>
        <v>10143.348824925786</v>
      </c>
      <c r="O7" s="141">
        <f>J9</f>
        <v>9538.652</v>
      </c>
      <c r="P7" s="223">
        <f>O9</f>
        <v>10012.500147780715</v>
      </c>
      <c r="Q7" s="231">
        <f>P9</f>
        <v>10021.949395917483</v>
      </c>
      <c r="R7" s="231">
        <f>Q9</f>
        <v>10560.366743094066</v>
      </c>
      <c r="S7" s="231">
        <f>R9</f>
        <v>10852.889278726405</v>
      </c>
      <c r="T7" s="141">
        <f>O9</f>
        <v>10012.500147780715</v>
      </c>
      <c r="U7" s="141">
        <f>T9</f>
        <v>10698.710784275312</v>
      </c>
      <c r="V7" s="141">
        <f>U9</f>
        <v>11431.05278307992</v>
      </c>
      <c r="W7" s="141">
        <f>V9</f>
        <v>12092.931286924888</v>
      </c>
    </row>
    <row r="8">
      <c r="B8" s="218" t="inlineStr">
        <is>
          <t>Change in debt, mm</t>
        </is>
      </c>
      <c r="C8" s="118" t="inlineStr">
        <is>
          <t>$</t>
        </is>
      </c>
      <c r="E8" s="175">
        <f>E9-E7</f>
        <v>267.009</v>
      </c>
      <c r="F8" s="225">
        <f>F9-F7</f>
        <v>577.8469999999998</v>
      </c>
      <c r="G8" s="225">
        <f>G9-G7</f>
        <v>387.7380000000012</v>
      </c>
      <c r="H8" s="225">
        <f>H9-H7</f>
        <v>48.146999999999025</v>
      </c>
      <c r="I8" s="225">
        <f>I9-I7</f>
        <v>193.8140000000003</v>
      </c>
      <c r="J8" s="175">
        <f>J9-J7</f>
        <v>1207.5460000000003</v>
      </c>
      <c r="K8" s="226">
        <f>K9-K7</f>
        <v>-157.55299999999988</v>
      </c>
      <c r="L8" s="225">
        <f>L9-L7</f>
        <v>453.49518594520487</v>
      </c>
      <c r="M8" s="225">
        <f>M9-M7</f>
        <v>308.75463898058115</v>
      </c>
      <c r="N8" s="225">
        <f>N9-N7</f>
        <v>-130.84867714507163</v>
      </c>
      <c r="O8" s="141">
        <f>SUM(K8:N8)</f>
        <v>473.8481477807145</v>
      </c>
      <c r="P8" s="225">
        <f>P9-P7</f>
        <v>9.449248136768801</v>
      </c>
      <c r="Q8" s="225">
        <f>Q9-Q7</f>
        <v>538.4173471765826</v>
      </c>
      <c r="R8" s="225">
        <f>R9-R7</f>
        <v>292.522535632339</v>
      </c>
      <c r="S8" s="225">
        <f>S9-S7</f>
        <v>-154.17849445109277</v>
      </c>
      <c r="T8" s="141">
        <f>SUM(P8:S8)</f>
        <v>686.2106364945976</v>
      </c>
      <c r="U8" s="193">
        <f>U9-U7</f>
        <v>732.341998804608</v>
      </c>
      <c r="V8" s="193">
        <f>V9-V7</f>
        <v>661.8785038449678</v>
      </c>
      <c r="W8" s="193">
        <f>W9-W7</f>
        <v>615.5388394668571</v>
      </c>
    </row>
    <row r="9">
      <c r="B9" s="306" t="inlineStr">
        <is>
          <t>Total debt - EOP, mm</t>
        </is>
      </c>
      <c r="C9" s="118" t="inlineStr">
        <is>
          <t>$</t>
        </is>
      </c>
      <c r="E9" s="222" t="n">
        <v>8331.106</v>
      </c>
      <c r="F9" s="219" t="n">
        <v>8908.953</v>
      </c>
      <c r="G9" s="219" t="n">
        <v>9296.691000000001</v>
      </c>
      <c r="H9" s="219" t="n">
        <v>9344.838</v>
      </c>
      <c r="I9" s="219" t="n">
        <v>9538.652</v>
      </c>
      <c r="J9" s="220">
        <f>I9</f>
        <v>9538.652</v>
      </c>
      <c r="K9" s="221" t="n">
        <v>9381.099</v>
      </c>
      <c r="L9" s="233">
        <f>'Revenue Build'!L41*L11</f>
        <v>9834.594185945205</v>
      </c>
      <c r="M9" s="233">
        <f>'Revenue Build'!M41*M11</f>
        <v>10143.348824925786</v>
      </c>
      <c r="N9" s="233">
        <f>'Revenue Build'!N41*N11</f>
        <v>10012.500147780715</v>
      </c>
      <c r="O9" s="220">
        <f>O7+O8</f>
        <v>10012.500147780715</v>
      </c>
      <c r="P9" s="233">
        <f>'Revenue Build'!P41*P11</f>
        <v>10021.949395917483</v>
      </c>
      <c r="Q9" s="233">
        <f>'Revenue Build'!Q41*Q11</f>
        <v>10560.366743094066</v>
      </c>
      <c r="R9" s="233">
        <f>'Revenue Build'!R41*R11</f>
        <v>10852.889278726405</v>
      </c>
      <c r="S9" s="233">
        <f>'Revenue Build'!S41*S11</f>
        <v>10698.710784275312</v>
      </c>
      <c r="T9" s="220">
        <f>T7+T8</f>
        <v>10698.710784275312</v>
      </c>
      <c r="U9" s="220">
        <f>'Revenue Build'!U41*U11</f>
        <v>11431.05278307992</v>
      </c>
      <c r="V9" s="220">
        <f>'Revenue Build'!V41*V11</f>
        <v>12092.931286924888</v>
      </c>
      <c r="W9" s="220">
        <f>'Revenue Build'!W41*W11</f>
        <v>12708.470126391745</v>
      </c>
    </row>
    <row r="10">
      <c r="B10" s="306" t="inlineStr">
        <is>
          <t>Avg. debt outstanding, mm</t>
        </is>
      </c>
      <c r="C10" s="118" t="inlineStr">
        <is>
          <t>$</t>
        </is>
      </c>
      <c r="E10" s="227" t="n">
        <v>8473.105</v>
      </c>
      <c r="F10" s="219" t="n">
        <v>8363.864</v>
      </c>
      <c r="G10" s="219" t="n">
        <v>8852.832</v>
      </c>
      <c r="H10" s="219" t="n">
        <v>8954.986000000001</v>
      </c>
      <c r="I10" s="219" t="n">
        <v>8725.152</v>
      </c>
      <c r="J10" s="227" t="n">
        <v>8724.209000000001</v>
      </c>
      <c r="K10" s="221" t="n">
        <v>9018.957</v>
      </c>
      <c r="L10" s="223">
        <f>AVERAGE(L7,L9)</f>
        <v>9607.846592972603</v>
      </c>
      <c r="M10" s="223">
        <f>AVERAGE(M7,M9)</f>
        <v>9988.971505435497</v>
      </c>
      <c r="N10" s="223">
        <f>AVERAGE(N7,N9)</f>
        <v>10077.924486353251</v>
      </c>
      <c r="O10" s="195">
        <f>(K10*K4+L10*L4+M10*M4+N10*N4)/O4</f>
        <v>9677.190688233073</v>
      </c>
      <c r="P10" s="223">
        <f>AVERAGE(P7,P9)</f>
        <v>10017.224771849098</v>
      </c>
      <c r="Q10" s="223">
        <f>AVERAGE(Q7,Q9)</f>
        <v>10291.158069505775</v>
      </c>
      <c r="R10" s="223">
        <f>AVERAGE(R7,R9)</f>
        <v>10706.628010910235</v>
      </c>
      <c r="S10" s="223">
        <f>AVERAGE(S7,S9)</f>
        <v>10775.800031500858</v>
      </c>
      <c r="T10" s="195">
        <f>(P10*P4+Q10*Q4+R10*R4+S10*S4)/T4</f>
        <v>10450.490393680178</v>
      </c>
      <c r="U10" s="220">
        <f>AVERAGE(U7,U9)</f>
        <v>11064.881783677616</v>
      </c>
      <c r="V10" s="220">
        <f>AVERAGE(V7,V9)</f>
        <v>11761.992035002404</v>
      </c>
      <c r="W10" s="220">
        <f>AVERAGE(W7,W9)</f>
        <v>12400.700706658317</v>
      </c>
    </row>
    <row r="11">
      <c r="B11" s="394" t="inlineStr">
        <is>
          <t>% Earning Assets</t>
        </is>
      </c>
      <c r="C11" s="118" t="inlineStr">
        <is>
          <t>%</t>
        </is>
      </c>
      <c r="E11" s="390">
        <f>E9/'Revenue Build'!E41</f>
        <v>1.1252588562188435</v>
      </c>
      <c r="F11" s="395">
        <f>F9/'Revenue Build'!F41</f>
        <v>1.175835366870093</v>
      </c>
      <c r="G11" s="395">
        <f>G9/'Revenue Build'!G41</f>
        <v>1.1214120587467198</v>
      </c>
      <c r="H11" s="395">
        <f>H9/'Revenue Build'!H41</f>
        <v>1.0630678040836163</v>
      </c>
      <c r="I11" s="395">
        <f>I9/'Revenue Build'!I41</f>
        <v>1.0771787975382194</v>
      </c>
      <c r="J11" s="390">
        <f>J9/'Revenue Build'!J41</f>
        <v>1.0771787975382194</v>
      </c>
      <c r="K11" s="396">
        <f>K9/'Revenue Build'!K41</f>
        <v>1.1115703404739214</v>
      </c>
      <c r="L11" s="338" t="n">
        <v>1.1</v>
      </c>
      <c r="M11" s="339">
        <f>L11</f>
        <v>1.1</v>
      </c>
      <c r="N11" s="339">
        <f>M11</f>
        <v>1.1</v>
      </c>
      <c r="O11" s="390">
        <f>O9/'Revenue Build'!O41</f>
        <v>1.1</v>
      </c>
      <c r="P11" s="351">
        <f>O11</f>
        <v>1.1</v>
      </c>
      <c r="Q11" s="351">
        <f>P11</f>
        <v>1.1</v>
      </c>
      <c r="R11" s="351">
        <f>Q11</f>
        <v>1.1</v>
      </c>
      <c r="S11" s="351">
        <f>R11</f>
        <v>1.1</v>
      </c>
      <c r="T11" s="390">
        <f>T9/'Revenue Build'!T41</f>
        <v>1.0999999999999999</v>
      </c>
      <c r="U11" s="375">
        <f>T11</f>
        <v>1.0999999999999999</v>
      </c>
      <c r="V11" s="375">
        <f>U11</f>
        <v>1.0999999999999999</v>
      </c>
      <c r="W11" s="375">
        <f>V11</f>
        <v>1.0999999999999999</v>
      </c>
    </row>
    <row r="12">
      <c r="B12" s="217" t="n"/>
    </row>
    <row r="13">
      <c r="A13" s="305" t="inlineStr">
        <is>
          <t>x</t>
        </is>
      </c>
      <c r="B13" s="299" t="inlineStr">
        <is>
          <t>Effective Interest Expense Rate, %</t>
        </is>
      </c>
      <c r="C13" s="296" t="inlineStr">
        <is>
          <t>%</t>
        </is>
      </c>
      <c r="D13" s="297" t="n"/>
      <c r="E13" s="249">
        <f>-'Revenue Build'!E57/'Debt Build'!E10*'Debt Build'!E4/'Debt Build'!E4</f>
        <v>0.06530356935267531</v>
      </c>
      <c r="F13" s="249">
        <f>-'Revenue Build'!F57/'Debt Build'!F10*$J$4/F4</f>
        <v>0.062169710076586615</v>
      </c>
      <c r="G13" s="249">
        <f>-'Revenue Build'!G57/'Debt Build'!G10*$J$4/G4</f>
        <v>0.060049083790300155</v>
      </c>
      <c r="H13" s="249">
        <f>-'Revenue Build'!H57/'Debt Build'!H10*$J$4/H4</f>
        <v>0.05985564549082537</v>
      </c>
      <c r="I13" s="249">
        <f>-'Revenue Build'!I57/'Debt Build'!I10*$J$4/I4</f>
        <v>0.0581311599524844</v>
      </c>
      <c r="J13" s="249">
        <f>-'Revenue Build'!J57/'Debt Build'!J10*'Debt Build'!J4/'Debt Build'!J4</f>
        <v>0.06002802087845443</v>
      </c>
      <c r="K13" s="250">
        <f>-'Revenue Build'!K57/'Debt Build'!K10*$J$4/K4</f>
        <v>0.0580132923229248</v>
      </c>
      <c r="L13" s="249">
        <f>K13</f>
        <v>0.0580132923229248</v>
      </c>
      <c r="M13" s="249">
        <f>L13</f>
        <v>0.0580132923229248</v>
      </c>
      <c r="N13" s="249">
        <f>M13</f>
        <v>0.0580132923229248</v>
      </c>
      <c r="O13" s="249">
        <f>-'Revenue Build'!O57/'Debt Build'!O10*'Debt Build'!O4/'Debt Build'!O4</f>
        <v>0.0580132923229248</v>
      </c>
      <c r="P13" s="249">
        <f>O13</f>
        <v>0.0580132923229248</v>
      </c>
      <c r="Q13" s="249">
        <f>P13</f>
        <v>0.0580132923229248</v>
      </c>
      <c r="R13" s="249">
        <f>Q13</f>
        <v>0.0580132923229248</v>
      </c>
      <c r="S13" s="249">
        <f>R13</f>
        <v>0.0580132923229248</v>
      </c>
      <c r="T13" s="249">
        <f>-'Revenue Build'!T57/'Debt Build'!T10*'Debt Build'!T4/'Debt Build'!T4</f>
        <v>0.0580132923229248</v>
      </c>
      <c r="U13" s="249">
        <f>T13</f>
        <v>0.0580132923229248</v>
      </c>
      <c r="V13" s="249">
        <f>U13</f>
        <v>0.0580132923229248</v>
      </c>
      <c r="W13" s="250">
        <f>V13</f>
        <v>0.0580132923229248</v>
      </c>
    </row>
    <row r="14">
      <c r="B14" s="218" t="n"/>
    </row>
  </sheetData>
  <pageMargins left="0.7" right="0.7" top="0.75" bottom="0.75" header="0.3" footer="0.3"/>
  <legacyDrawing r:id="anysvml"/>
</worksheet>
</file>

<file path=xl/worksheets/sheet4.xml><?xml version="1.0" encoding="utf-8"?>
<worksheet xmlns="http://schemas.openxmlformats.org/spreadsheetml/2006/main">
  <sheetPr>
    <outlinePr summaryBelow="1" summaryRight="1"/>
    <pageSetUpPr/>
  </sheetPr>
  <dimension ref="B2:Y2"/>
  <sheetViews>
    <sheetView showGridLines="0" workbookViewId="0">
      <selection activeCell="B3" sqref="B3"/>
    </sheetView>
  </sheetViews>
  <sheetFormatPr baseColWidth="8" defaultRowHeight="15"/>
  <sheetData>
    <row r="2">
      <c r="B2" s="328" t="inlineStr">
        <is>
          <t>WIP</t>
        </is>
      </c>
      <c r="C2" s="328" t="n"/>
      <c r="D2" s="328" t="n"/>
      <c r="E2" s="328" t="n"/>
      <c r="F2" s="328" t="n"/>
      <c r="G2" s="328" t="n"/>
      <c r="H2" s="328" t="n"/>
      <c r="I2" s="328" t="n"/>
      <c r="J2" s="328" t="n"/>
      <c r="K2" s="328" t="n"/>
      <c r="L2" s="328" t="n"/>
      <c r="M2" s="328" t="n"/>
      <c r="N2" s="328" t="n"/>
      <c r="O2" s="328" t="n"/>
      <c r="P2" s="328" t="n"/>
      <c r="Q2" s="328" t="n"/>
      <c r="R2" s="328" t="n"/>
      <c r="S2" s="328" t="n"/>
      <c r="T2" s="328" t="n"/>
      <c r="U2" s="328" t="n"/>
      <c r="V2" s="328" t="n"/>
      <c r="W2" s="328" t="n"/>
      <c r="X2" s="328" t="n"/>
      <c r="Y2" s="328" t="n"/>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Q30"/>
  <sheetViews>
    <sheetView showGridLines="0" workbookViewId="0">
      <selection activeCell="C2" sqref="C2"/>
    </sheetView>
  </sheetViews>
  <sheetFormatPr baseColWidth="8" defaultRowHeight="15"/>
  <cols>
    <col width="9.140625" customWidth="1" style="13" min="1" max="1"/>
    <col width="37.5703125" bestFit="1" customWidth="1" style="20" min="2" max="2"/>
    <col width="9.140625" customWidth="1" style="21" min="3" max="3"/>
    <col width="10.5703125" customWidth="1" style="45" min="4" max="6"/>
    <col outlineLevel="1" width="10.5703125" customWidth="1" style="34" min="7" max="7"/>
    <col outlineLevel="1" width="10.5703125" customWidth="1" style="27" min="8" max="10"/>
    <col width="10.5703125" customWidth="1" style="45" min="11" max="15"/>
    <col width="9.5703125" bestFit="1" customWidth="1" style="20" min="17" max="17"/>
  </cols>
  <sheetData>
    <row r="1">
      <c r="C1" s="2" t="n"/>
      <c r="G1" s="9" t="n"/>
    </row>
    <row r="2" ht="18.75" customHeight="1" s="20">
      <c r="B2" s="1" t="inlineStr">
        <is>
          <t>EFN Thesis Build</t>
        </is>
      </c>
      <c r="C2" s="2" t="n"/>
      <c r="G2" s="9" t="n"/>
    </row>
    <row r="3">
      <c r="C3" s="2" t="n"/>
      <c r="G3" s="9" t="n"/>
    </row>
    <row r="4">
      <c r="A4" s="13" t="inlineStr">
        <is>
          <t>x</t>
        </is>
      </c>
      <c r="B4" s="4" t="inlineStr">
        <is>
          <t>Service and other Revenue</t>
        </is>
      </c>
      <c r="C4" s="5" t="inlineStr">
        <is>
          <t>Units</t>
        </is>
      </c>
      <c r="D4" s="6" t="n">
        <v>2023</v>
      </c>
      <c r="E4" s="6">
        <f>D4+1</f>
        <v>2024.0</v>
      </c>
      <c r="F4" s="6">
        <f>E4+1</f>
        <v>2025.0</v>
      </c>
      <c r="G4" s="10" t="inlineStr">
        <is>
          <t>Q1'26A</t>
        </is>
      </c>
      <c r="H4" s="8" t="inlineStr">
        <is>
          <t>Q2'26E</t>
        </is>
      </c>
      <c r="I4" s="8" t="inlineStr">
        <is>
          <t>Q3'26E</t>
        </is>
      </c>
      <c r="J4" s="8" t="inlineStr">
        <is>
          <t>Q4'26E</t>
        </is>
      </c>
      <c r="K4" s="7">
        <f>F4+1</f>
        <v>2026.0</v>
      </c>
      <c r="L4" s="7">
        <f>K4+1</f>
        <v>2027.0</v>
      </c>
      <c r="M4" s="7">
        <f>L4+1</f>
        <v>2028.0</v>
      </c>
      <c r="N4" s="7">
        <f>M4+1</f>
        <v>2029.0</v>
      </c>
      <c r="O4" s="7">
        <f>N4+1</f>
        <v>2030.0</v>
      </c>
    </row>
    <row r="5" s="20">
      <c r="A5" s="13" t="n"/>
      <c r="B5" s="14" t="n"/>
      <c r="C5" s="15" t="n"/>
      <c r="D5" s="16" t="n"/>
      <c r="E5" s="16" t="n"/>
      <c r="F5" s="16" t="n"/>
      <c r="G5" s="17" t="n"/>
      <c r="H5" s="18" t="n"/>
      <c r="I5" s="18" t="n"/>
      <c r="J5" s="18" t="n"/>
      <c r="K5" s="19" t="n"/>
      <c r="L5" s="19" t="n"/>
      <c r="M5" s="19" t="n"/>
      <c r="N5" s="19" t="n"/>
      <c r="O5" s="19" t="n"/>
    </row>
    <row r="6">
      <c r="B6" s="23" t="inlineStr">
        <is>
          <t>EFN Total Fleet TAM</t>
        </is>
      </c>
      <c r="C6" s="37" t="inlineStr">
        <is>
          <t>#</t>
        </is>
      </c>
      <c r="D6" s="397">
        <f>D12+D15</f>
        <v>16.662992266508034</v>
      </c>
      <c r="E6" s="397">
        <f>E12+E15</f>
        <v>17.079567073170736</v>
      </c>
      <c r="F6" s="397">
        <f>F12+F15</f>
        <v>17.50655625</v>
      </c>
      <c r="G6" s="398">
        <f>G12+G15</f>
        <v>17.614961158613603</v>
      </c>
      <c r="H6" s="397">
        <f>H12+H15</f>
        <v>17.79111077019974</v>
      </c>
      <c r="I6" s="397">
        <f>I12+I15</f>
        <v>17.924544100976238</v>
      </c>
      <c r="J6" s="397">
        <f>J12+J15</f>
        <v>18.058978181733565</v>
      </c>
      <c r="K6" s="397">
        <f>K12+K15</f>
        <v>18.055335187578944</v>
      </c>
      <c r="L6" s="397">
        <f>L12+L15</f>
        <v>18.506718567268415</v>
      </c>
      <c r="M6" s="397">
        <f>M12+M15</f>
        <v>18.969386531450127</v>
      </c>
      <c r="N6" s="397">
        <f>N12+N15</f>
        <v>19.443621194736377</v>
      </c>
      <c r="O6" s="399">
        <f>O12+O15</f>
        <v>19.929711724604786</v>
      </c>
      <c r="Q6" t="inlineStr">
        <is>
          <t># of vehicles</t>
        </is>
      </c>
    </row>
    <row r="7">
      <c r="B7" s="57" t="inlineStr">
        <is>
          <t>% y/y change</t>
        </is>
      </c>
      <c r="C7" s="44" t="n"/>
      <c r="D7" s="59" t="n">
        <v>0</v>
      </c>
      <c r="E7" s="400">
        <f>E6/D6-1</f>
        <v>0.025000000000000133</v>
      </c>
      <c r="F7" s="400">
        <f>F6/E6-1</f>
        <v>0.02499999999999969</v>
      </c>
      <c r="G7" s="401" t="n">
        <v>0</v>
      </c>
      <c r="H7" s="400">
        <f>H6/G6-1</f>
        <v>0.010000000000000009</v>
      </c>
      <c r="I7" s="400">
        <f>I6/H6-1</f>
        <v>0.007500000000000062</v>
      </c>
      <c r="J7" s="400">
        <f>J6/I6-1</f>
        <v>0.007500000000000284</v>
      </c>
      <c r="K7" s="400">
        <f>K6/F6-1</f>
        <v>0.031347052483777116</v>
      </c>
      <c r="L7" s="400">
        <f>L6/K6-1</f>
        <v>0.02499999999999991</v>
      </c>
      <c r="M7" s="400">
        <f>M6/L6-1</f>
        <v>0.025000000000000133</v>
      </c>
      <c r="N7" s="400">
        <f>N6/M6-1</f>
        <v>0.02499999999999991</v>
      </c>
      <c r="O7" s="401">
        <f>O6/N6-1</f>
        <v>0.02499999999999991</v>
      </c>
    </row>
    <row r="8" ht="5.1" customHeight="1" s="20">
      <c r="B8" s="48" t="n"/>
      <c r="C8" s="44" t="n"/>
      <c r="D8" s="45" t="n"/>
      <c r="E8" s="402" t="n"/>
      <c r="F8" s="402" t="n"/>
      <c r="G8" s="403" t="n"/>
      <c r="H8" s="402" t="n"/>
      <c r="I8" s="402" t="n"/>
      <c r="J8" s="402" t="n"/>
      <c r="K8" s="402" t="n"/>
      <c r="L8" s="402" t="n"/>
      <c r="M8" s="402" t="n"/>
      <c r="N8" s="402" t="n"/>
      <c r="O8" s="403" t="n"/>
    </row>
    <row r="9">
      <c r="B9" s="41" t="inlineStr">
        <is>
          <t>EFN Total Fleet SAM</t>
        </is>
      </c>
      <c r="C9" s="42" t="inlineStr">
        <is>
          <t>#</t>
        </is>
      </c>
      <c r="D9" s="404">
        <f>D12</f>
        <v>9.607911957168355</v>
      </c>
      <c r="E9" s="404">
        <f>E12</f>
        <v>9.848109756097564</v>
      </c>
      <c r="F9" s="404">
        <f>F12+F15</f>
        <v>17.50655625</v>
      </c>
      <c r="G9" s="405">
        <f>G12+G15</f>
        <v>17.614961158613603</v>
      </c>
      <c r="H9" s="404">
        <f>H12+H15</f>
        <v>17.79111077019974</v>
      </c>
      <c r="I9" s="404">
        <f>I12+I15</f>
        <v>17.924544100976238</v>
      </c>
      <c r="J9" s="404">
        <f>J12+J15</f>
        <v>18.058978181733565</v>
      </c>
      <c r="K9" s="404">
        <f>K12+K15</f>
        <v>18.055335187578944</v>
      </c>
      <c r="L9" s="404">
        <f>L12+L15</f>
        <v>18.506718567268415</v>
      </c>
      <c r="M9" s="404">
        <f>M12+M15</f>
        <v>18.969386531450127</v>
      </c>
      <c r="N9" s="404">
        <f>N12+N15</f>
        <v>19.443621194736377</v>
      </c>
      <c r="O9" s="405">
        <f>O12+O15</f>
        <v>19.929711724604786</v>
      </c>
    </row>
    <row r="10">
      <c r="B10" s="56" t="inlineStr">
        <is>
          <t>% y/y change</t>
        </is>
      </c>
      <c r="C10" s="24" t="n"/>
      <c r="D10" s="50" t="n">
        <v>0</v>
      </c>
      <c r="E10" s="406">
        <f>E9/D9-1</f>
        <v>0.025000000000000133</v>
      </c>
      <c r="F10" s="406">
        <f>F9/E9-1</f>
        <v>0.7776564928270244</v>
      </c>
      <c r="G10" s="407" t="n">
        <v>0</v>
      </c>
      <c r="H10" s="406">
        <f>H9/G9-1</f>
        <v>0.010000000000000009</v>
      </c>
      <c r="I10" s="406">
        <f>I9/H9-1</f>
        <v>0.007500000000000062</v>
      </c>
      <c r="J10" s="406">
        <f>J9/I9-1</f>
        <v>0.007500000000000284</v>
      </c>
      <c r="K10" s="406">
        <f>K9/F9-1</f>
        <v>0.031347052483777116</v>
      </c>
      <c r="L10" s="406">
        <f>L9/K9-1</f>
        <v>0.02499999999999991</v>
      </c>
      <c r="M10" s="406">
        <f>M9/L9-1</f>
        <v>0.025000000000000133</v>
      </c>
      <c r="N10" s="406">
        <f>N9/M9-1</f>
        <v>0.02499999999999991</v>
      </c>
      <c r="O10" s="407">
        <f>O9/N9-1</f>
        <v>0.02499999999999991</v>
      </c>
    </row>
    <row r="11">
      <c r="B11" s="22" t="n"/>
      <c r="C11" s="21" t="n"/>
      <c r="D11" s="27" t="n"/>
      <c r="E11" s="27" t="n"/>
      <c r="F11" s="27" t="n"/>
      <c r="H11" s="27" t="n"/>
      <c r="I11" s="27" t="n"/>
      <c r="J11" s="27" t="n"/>
      <c r="K11" s="27" t="n"/>
      <c r="L11" s="27" t="n"/>
      <c r="M11" s="27" t="n"/>
      <c r="N11" s="27" t="n"/>
      <c r="O11" s="27" t="n"/>
    </row>
    <row r="12">
      <c r="B12" t="inlineStr">
        <is>
          <t>Large Fleet TAM</t>
        </is>
      </c>
      <c r="D12" s="408" t="n">
        <v>9.607911957168355</v>
      </c>
      <c r="E12" s="408" t="n">
        <v>9.848109756097564</v>
      </c>
      <c r="F12" s="408" t="n">
        <v>10.0943125</v>
      </c>
      <c r="G12" s="409" t="n">
        <v>10.15681896948795</v>
      </c>
      <c r="H12" s="410">
        <f>G12*(1+H13)</f>
        <v>10.258387159182826</v>
      </c>
      <c r="I12" s="410">
        <f>H12*(1+I13)</f>
        <v>10.335325062876699</v>
      </c>
      <c r="J12" s="410">
        <f>I12*(1+J13)</f>
        <v>10.412840000848275</v>
      </c>
      <c r="K12" s="411">
        <f>G12*(1+K13)</f>
        <v>10.410739443725145</v>
      </c>
      <c r="L12" s="411">
        <f>K12*(1+L13)</f>
        <v>10.671007929818273</v>
      </c>
      <c r="M12" s="411">
        <f>L12*(1+M13)</f>
        <v>10.93778312806373</v>
      </c>
      <c r="N12" s="411">
        <f>M12*(1+N13)</f>
        <v>11.211227706265323</v>
      </c>
      <c r="O12" s="411">
        <f>N12*(1+O13)</f>
        <v>11.491508398921955</v>
      </c>
      <c r="Q12" s="412" t="n"/>
    </row>
    <row r="13">
      <c r="B13" s="11" t="inlineStr">
        <is>
          <t>% y/y change</t>
        </is>
      </c>
      <c r="D13" s="45" t="n">
        <v>0</v>
      </c>
      <c r="E13" s="402">
        <f>E12/D12-1</f>
        <v>0.025000000000000133</v>
      </c>
      <c r="F13" s="402">
        <f>F12/E12-1</f>
        <v>0.02499999999999969</v>
      </c>
      <c r="G13" s="34" t="n">
        <v>0</v>
      </c>
      <c r="H13" s="413" t="n">
        <v>0.01</v>
      </c>
      <c r="I13" s="413" t="n">
        <v>0.0075</v>
      </c>
      <c r="J13" s="413" t="n">
        <v>0.0075</v>
      </c>
      <c r="K13" s="402">
        <f>H13+I13+J13</f>
        <v>0.025</v>
      </c>
      <c r="L13" s="414" t="n">
        <v>0.025</v>
      </c>
      <c r="M13" s="414" t="n">
        <v>0.025</v>
      </c>
      <c r="N13" s="414" t="n">
        <v>0.025</v>
      </c>
      <c r="O13" s="414" t="n">
        <v>0.025</v>
      </c>
    </row>
    <row r="15">
      <c r="B15" t="inlineStr">
        <is>
          <t>SME Fleet TAM</t>
        </is>
      </c>
      <c r="D15" s="408" t="n">
        <v>7.055080309339679</v>
      </c>
      <c r="E15" s="408" t="n">
        <v>7.231457317073171</v>
      </c>
      <c r="F15" s="408" t="n">
        <v>7.41224375</v>
      </c>
      <c r="G15" s="409" t="n">
        <v>7.458142189125657</v>
      </c>
      <c r="H15" s="410">
        <f>G15*(1+H16)</f>
        <v>7.532723611016913</v>
      </c>
      <c r="I15" s="410">
        <f>H15*(1+I16)</f>
        <v>7.58921903809954</v>
      </c>
      <c r="J15" s="410">
        <f>I15*(1+J16)</f>
        <v>7.646138180885288</v>
      </c>
      <c r="K15" s="411">
        <f>G15*(1+K16)</f>
        <v>7.644595743853798</v>
      </c>
      <c r="L15" s="411">
        <f>K15*(1+L16)</f>
        <v>7.835710637450142</v>
      </c>
      <c r="M15" s="411">
        <f>L15*(1+M16)</f>
        <v>8.031603403386395</v>
      </c>
      <c r="N15" s="411">
        <f>M15*(1+N16)</f>
        <v>8.232393488471054</v>
      </c>
      <c r="O15" s="411">
        <f>N15*(1+O16)</f>
        <v>8.43820332568283</v>
      </c>
    </row>
    <row r="16">
      <c r="B16" s="11" t="inlineStr">
        <is>
          <t>% y/y change</t>
        </is>
      </c>
      <c r="D16" s="45" t="n">
        <v>0</v>
      </c>
      <c r="E16" s="402">
        <f>E15/D15-1</f>
        <v>0.02499999999999991</v>
      </c>
      <c r="F16" s="402">
        <f>F15/E15-1</f>
        <v>0.02499999999999991</v>
      </c>
      <c r="G16" s="34" t="n">
        <v>0</v>
      </c>
      <c r="H16" s="413" t="n">
        <v>0.01</v>
      </c>
      <c r="I16" s="413" t="n">
        <v>0.0075</v>
      </c>
      <c r="J16" s="413" t="n">
        <v>0.0075</v>
      </c>
      <c r="K16" s="402">
        <f>H16+I16+J16</f>
        <v>0.025</v>
      </c>
      <c r="L16" s="414" t="n">
        <v>0.025</v>
      </c>
      <c r="M16" s="414" t="n">
        <v>0.025</v>
      </c>
      <c r="N16" s="414" t="n">
        <v>0.025</v>
      </c>
      <c r="O16" s="414" t="n">
        <v>0.025</v>
      </c>
    </row>
    <row r="18">
      <c r="B18" t="inlineStr">
        <is>
          <t>Total Vehicles Under Management (VUM)</t>
        </is>
      </c>
      <c r="D18" s="408" t="n">
        <v>1.507</v>
      </c>
      <c r="E18" s="408" t="n">
        <v>1.498</v>
      </c>
      <c r="F18" s="408" t="n">
        <v>1.525</v>
      </c>
      <c r="G18" s="409" t="n">
        <v>1.57</v>
      </c>
      <c r="H18" s="415" t="n"/>
    </row>
    <row r="19">
      <c r="B19" s="11" t="inlineStr">
        <is>
          <t>% y/y change</t>
        </is>
      </c>
      <c r="D19" s="59" t="n">
        <v>0</v>
      </c>
      <c r="E19" s="400">
        <f>E18/D18-1</f>
        <v>-0.005972130059721192</v>
      </c>
      <c r="F19" s="400">
        <f>F18/E18-1</f>
        <v>0.018024032042723626</v>
      </c>
      <c r="G19" s="61" t="n">
        <v>0</v>
      </c>
      <c r="H19" s="62" t="n"/>
      <c r="I19" s="62" t="n"/>
      <c r="J19" s="62" t="n"/>
      <c r="K19" s="59" t="n"/>
      <c r="L19" s="59" t="n"/>
      <c r="M19" s="59" t="n"/>
      <c r="N19" s="59" t="n"/>
      <c r="O19" s="59" t="n"/>
    </row>
    <row r="20">
      <c r="B20" s="11" t="inlineStr">
        <is>
          <t>% of Total SAM</t>
        </is>
      </c>
      <c r="D20" s="400">
        <f>D18/D9</f>
        <v>0.1568498969097697</v>
      </c>
      <c r="E20" s="400">
        <f>E18/E9</f>
        <v>0.15211040870787382</v>
      </c>
      <c r="F20" s="400">
        <f>F18/F9</f>
        <v>0.08711022192043053</v>
      </c>
      <c r="G20" s="416">
        <f>G18/G9</f>
        <v>0.08912878012406403</v>
      </c>
      <c r="H20" s="417" t="n"/>
      <c r="I20" s="417" t="n"/>
      <c r="J20" s="417" t="n"/>
      <c r="K20" s="400" t="n"/>
      <c r="L20" s="400" t="n"/>
      <c r="M20" s="400" t="n"/>
      <c r="N20" s="400" t="n"/>
      <c r="O20" s="400" t="n"/>
    </row>
    <row r="21">
      <c r="B21" s="11" t="n"/>
    </row>
    <row r="22">
      <c r="B22" t="inlineStr">
        <is>
          <t>Large Fleet VUM</t>
        </is>
      </c>
      <c r="G22" s="409" t="n">
        <v>1.455</v>
      </c>
    </row>
    <row r="23">
      <c r="B23" s="11" t="inlineStr">
        <is>
          <t>% y/y change</t>
        </is>
      </c>
      <c r="G23" s="61" t="n">
        <v>0</v>
      </c>
    </row>
    <row r="24">
      <c r="B24" s="11" t="inlineStr">
        <is>
          <t>% of Total VUM</t>
        </is>
      </c>
      <c r="G24" s="416">
        <f>G22/$G$18</f>
        <v>0.9267515923566879</v>
      </c>
    </row>
    <row r="25">
      <c r="B25" s="11" t="inlineStr">
        <is>
          <t>% Active Large Capture</t>
        </is>
      </c>
      <c r="G25" s="416" t="n">
        <v>0.005</v>
      </c>
    </row>
    <row r="27">
      <c r="B27" s="65" t="inlineStr">
        <is>
          <t>SME Fleet VUM</t>
        </is>
      </c>
      <c r="G27" s="416" t="n"/>
    </row>
    <row r="28">
      <c r="B28" s="11" t="inlineStr">
        <is>
          <t>% y/y change</t>
        </is>
      </c>
      <c r="G28" s="61" t="n">
        <v>0</v>
      </c>
    </row>
    <row r="29">
      <c r="B29" s="11" t="inlineStr">
        <is>
          <t>% of Total VUM</t>
        </is>
      </c>
      <c r="G29" s="416">
        <f>G27/$G$18</f>
        <v>0.0</v>
      </c>
    </row>
    <row r="30">
      <c r="B30" s="11" t="inlineStr">
        <is>
          <t>% Active SME Capture</t>
        </is>
      </c>
      <c r="G30" s="416" t="n">
        <v>0.0025</v>
      </c>
    </row>
  </sheetData>
  <pageMargins left="0.7" right="0.7" top="0.75" bottom="0.75" header="0.3" footer="0.3"/>
  <legacyDrawing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Hastings, Benjamin</dc:creator>
  <dcterms:created xsi:type="dcterms:W3CDTF">2026-06-19T13:26:37Z</dcterms:created>
  <dcterms:modified xsi:type="dcterms:W3CDTF">2026-06-24T16:18:52Z</dcterms:modified>
  <cp:lastModifiedBy>Luckasavitch, Curtis</cp:lastModifiedBy>
</cp:coreProperties>
</file>
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cluckasa\Downloads\"/>
    </mc:Choice>
  </mc:AlternateContent>
  <xr:revisionPtr revIDLastSave="0" documentId="13_ncr:1_{3CE26BBD-D088-4256-BD9C-D71A2327CBEB}" xr6:coauthVersionLast="47" xr6:coauthVersionMax="47" xr10:uidLastSave="{00000000-0000-0000-0000-000000000000}"/>
  <bookViews>
    <workbookView xWindow="-120" yWindow="-120" windowWidth="29040" windowHeight="15720" xr2:uid="{09A5E26E-D20A-4A40-B255-EE82EA28A6B3}"/>
  </bookViews>
  <sheets>
    <sheet name="Opearating Model" sheetId="10" r:id="rId1"/>
    <sheet name="Revenue Build" sheetId="8" r:id="rId2"/>
    <sheet name="Debt Build" sheetId="9" r:id="rId3"/>
    <sheet name="Comps" sheetId="12" r:id="rId4"/>
    <sheet name="VUM Build -- Ignore" sheetId="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7" i="10" l="1"/>
  <c r="L13" i="8"/>
  <c r="L7" i="8"/>
  <c r="U22" i="8"/>
  <c r="T68" i="10"/>
  <c r="T67" i="10"/>
  <c r="T66" i="10"/>
  <c r="T65" i="10"/>
  <c r="O68" i="10"/>
  <c r="O67" i="10"/>
  <c r="O66" i="10"/>
  <c r="O65" i="10"/>
  <c r="T64" i="10"/>
  <c r="T63" i="10"/>
  <c r="T62" i="10"/>
  <c r="T61" i="10"/>
  <c r="T60" i="10"/>
  <c r="O60" i="10"/>
  <c r="O63" i="10"/>
  <c r="O62" i="10"/>
  <c r="O61" i="10"/>
  <c r="O64" i="10"/>
  <c r="U89" i="10"/>
  <c r="R28" i="8"/>
  <c r="W25" i="8"/>
  <c r="V25" i="8"/>
  <c r="P24" i="10"/>
  <c r="Q24" i="10"/>
  <c r="U53" i="10"/>
  <c r="V53" i="10" s="1"/>
  <c r="W53" i="10" s="1"/>
  <c r="P53" i="10"/>
  <c r="D101" i="10"/>
  <c r="K101" i="10"/>
  <c r="J101" i="10"/>
  <c r="I101" i="10"/>
  <c r="H101" i="10"/>
  <c r="G101" i="10"/>
  <c r="F101" i="10"/>
  <c r="E101" i="10"/>
  <c r="E83" i="10"/>
  <c r="F83" i="10"/>
  <c r="G83" i="10"/>
  <c r="H83" i="10"/>
  <c r="I83" i="10"/>
  <c r="J83" i="10"/>
  <c r="K83" i="10"/>
  <c r="D83" i="10"/>
  <c r="D77" i="10"/>
  <c r="D81" i="10"/>
  <c r="K81" i="10"/>
  <c r="J81" i="10"/>
  <c r="I81" i="10"/>
  <c r="H81" i="10"/>
  <c r="G81" i="10"/>
  <c r="F81" i="10"/>
  <c r="E81" i="10"/>
  <c r="J77" i="10"/>
  <c r="I77" i="10"/>
  <c r="H77" i="10"/>
  <c r="G77" i="10"/>
  <c r="F77" i="10"/>
  <c r="E77" i="10"/>
  <c r="H87" i="10" l="1"/>
  <c r="F87" i="10"/>
  <c r="I87" i="10"/>
  <c r="K87" i="10"/>
  <c r="O87" i="10" s="1"/>
  <c r="T87" i="10" s="1"/>
  <c r="U87" i="10" s="1"/>
  <c r="V87" i="10" s="1"/>
  <c r="W87" i="10" s="1"/>
  <c r="J87" i="10"/>
  <c r="G87" i="10"/>
  <c r="E87" i="10"/>
  <c r="J39" i="10" l="1"/>
  <c r="J42" i="10"/>
  <c r="O42" i="10"/>
  <c r="P42" i="10"/>
  <c r="Q42" i="10" s="1"/>
  <c r="R42" i="10" s="1"/>
  <c r="S42" i="10" s="1"/>
  <c r="J45" i="10"/>
  <c r="L45" i="10"/>
  <c r="M45" i="10" s="1"/>
  <c r="N45" i="10" s="1"/>
  <c r="P45" i="10"/>
  <c r="Q45" i="10" s="1"/>
  <c r="R45" i="10" s="1"/>
  <c r="S45" i="10" s="1"/>
  <c r="E68" i="10"/>
  <c r="F68" i="10"/>
  <c r="G68" i="10"/>
  <c r="H68" i="10"/>
  <c r="I68" i="10"/>
  <c r="K68" i="10"/>
  <c r="D68" i="10"/>
  <c r="E64" i="10"/>
  <c r="F64" i="10"/>
  <c r="G64" i="10"/>
  <c r="H64" i="10"/>
  <c r="I64" i="10"/>
  <c r="J64" i="10"/>
  <c r="K64" i="10"/>
  <c r="D64" i="10"/>
  <c r="E63" i="10"/>
  <c r="F63" i="10"/>
  <c r="G63" i="10"/>
  <c r="H63" i="10"/>
  <c r="I63" i="10"/>
  <c r="K63" i="10"/>
  <c r="L63" i="10"/>
  <c r="M63" i="10"/>
  <c r="N63" i="10"/>
  <c r="D63" i="10"/>
  <c r="E62" i="10"/>
  <c r="F62" i="10"/>
  <c r="G62" i="10"/>
  <c r="H62" i="10"/>
  <c r="I62" i="10"/>
  <c r="K62" i="10"/>
  <c r="D62" i="10"/>
  <c r="E61" i="10"/>
  <c r="F61" i="10"/>
  <c r="G61" i="10"/>
  <c r="H61" i="10"/>
  <c r="I61" i="10"/>
  <c r="K61" i="10"/>
  <c r="E60" i="10"/>
  <c r="F60" i="10"/>
  <c r="G60" i="10"/>
  <c r="H60" i="10"/>
  <c r="I60" i="10"/>
  <c r="K60" i="10"/>
  <c r="D60" i="10"/>
  <c r="D61" i="10"/>
  <c r="T45" i="10" l="1"/>
  <c r="U45" i="10" s="1"/>
  <c r="V45" i="10" s="1"/>
  <c r="W45" i="10" s="1"/>
  <c r="O45" i="10"/>
  <c r="T42" i="10"/>
  <c r="U42" i="10" s="1"/>
  <c r="V42" i="10" s="1"/>
  <c r="W42" i="10" s="1"/>
  <c r="Q53" i="10"/>
  <c r="R53" i="10" s="1"/>
  <c r="M53" i="10"/>
  <c r="N53" i="10" s="1"/>
  <c r="L68" i="10"/>
  <c r="P63" i="10"/>
  <c r="J68" i="10"/>
  <c r="J62" i="10"/>
  <c r="J63" i="10"/>
  <c r="M21" i="10"/>
  <c r="N21" i="10" s="1"/>
  <c r="S21" i="10" s="1"/>
  <c r="Q21" i="10"/>
  <c r="P27" i="10"/>
  <c r="Q27" i="10" s="1"/>
  <c r="R27" i="10" s="1"/>
  <c r="S27" i="10" s="1"/>
  <c r="M27" i="10"/>
  <c r="N27" i="10" s="1"/>
  <c r="M24" i="10"/>
  <c r="P21" i="10"/>
  <c r="P29" i="10"/>
  <c r="P60" i="10" s="1"/>
  <c r="L29" i="10"/>
  <c r="J20" i="10"/>
  <c r="J23" i="10"/>
  <c r="J26" i="10"/>
  <c r="J29" i="10"/>
  <c r="J60" i="10" s="1"/>
  <c r="J32" i="10"/>
  <c r="J61" i="10" s="1"/>
  <c r="R24" i="10" l="1"/>
  <c r="N24" i="10"/>
  <c r="S24" i="10" s="1"/>
  <c r="Q68" i="10"/>
  <c r="P68" i="10"/>
  <c r="Q29" i="10"/>
  <c r="Q60" i="10" s="1"/>
  <c r="L60" i="10"/>
  <c r="S53" i="10"/>
  <c r="M29" i="10"/>
  <c r="M60" i="10" s="1"/>
  <c r="R21" i="10"/>
  <c r="Q63" i="10" l="1"/>
  <c r="N68" i="10"/>
  <c r="M68" i="10"/>
  <c r="N29" i="10"/>
  <c r="N60" i="10" s="1"/>
  <c r="R29" i="10"/>
  <c r="R60" i="10" s="1"/>
  <c r="S68" i="10" l="1"/>
  <c r="R68" i="10"/>
  <c r="S63" i="10"/>
  <c r="R63" i="10"/>
  <c r="S29" i="10"/>
  <c r="O29" i="10"/>
  <c r="T29" i="10" l="1"/>
  <c r="S60" i="10"/>
  <c r="U68" i="10" l="1"/>
  <c r="U29" i="10"/>
  <c r="U63" i="10"/>
  <c r="E13" i="10"/>
  <c r="E84" i="10" s="1"/>
  <c r="F13" i="10"/>
  <c r="G13" i="10"/>
  <c r="H13" i="10"/>
  <c r="I13" i="10"/>
  <c r="J13" i="10"/>
  <c r="J84" i="10" s="1"/>
  <c r="K13" i="10"/>
  <c r="E15" i="10"/>
  <c r="F15" i="10"/>
  <c r="G15" i="10"/>
  <c r="H15" i="10"/>
  <c r="I15" i="10"/>
  <c r="J15" i="10"/>
  <c r="K15" i="10"/>
  <c r="L15" i="10"/>
  <c r="E7" i="10"/>
  <c r="F7" i="10"/>
  <c r="G7" i="10"/>
  <c r="H7" i="10"/>
  <c r="I7" i="10"/>
  <c r="J7" i="10"/>
  <c r="K7" i="10"/>
  <c r="E8" i="10"/>
  <c r="F8" i="10"/>
  <c r="G8" i="10"/>
  <c r="H8" i="10"/>
  <c r="I8" i="10"/>
  <c r="J8" i="10"/>
  <c r="K8" i="10"/>
  <c r="E9" i="10"/>
  <c r="F9" i="10"/>
  <c r="G9" i="10"/>
  <c r="H9" i="10"/>
  <c r="I9" i="10"/>
  <c r="J9" i="10"/>
  <c r="K9" i="10"/>
  <c r="L9" i="10"/>
  <c r="M9" i="10"/>
  <c r="N9" i="10"/>
  <c r="O9" i="10"/>
  <c r="E10" i="10"/>
  <c r="F10" i="10"/>
  <c r="G10" i="10"/>
  <c r="H10" i="10"/>
  <c r="I10" i="10"/>
  <c r="J10" i="10"/>
  <c r="K10" i="10"/>
  <c r="D15" i="10"/>
  <c r="D13" i="10"/>
  <c r="D84" i="10" s="1"/>
  <c r="D10" i="10"/>
  <c r="D9" i="10"/>
  <c r="D8" i="10"/>
  <c r="D7" i="10"/>
  <c r="E5" i="10"/>
  <c r="J5" i="10" s="1"/>
  <c r="O5" i="10" s="1"/>
  <c r="T5" i="10" s="1"/>
  <c r="U5" i="10" s="1"/>
  <c r="V5" i="10" s="1"/>
  <c r="W5" i="10" s="1"/>
  <c r="W63" i="10" l="1"/>
  <c r="V63" i="10"/>
  <c r="V29" i="10"/>
  <c r="U60" i="10"/>
  <c r="W68" i="10"/>
  <c r="V68" i="10"/>
  <c r="K11" i="10"/>
  <c r="K17" i="10" s="1"/>
  <c r="J11" i="10"/>
  <c r="J17" i="10" s="1"/>
  <c r="D11" i="10"/>
  <c r="D17" i="10" s="1"/>
  <c r="I11" i="10"/>
  <c r="I17" i="10" s="1"/>
  <c r="H11" i="10"/>
  <c r="H17" i="10" s="1"/>
  <c r="G11" i="10"/>
  <c r="G17" i="10" s="1"/>
  <c r="F11" i="10"/>
  <c r="F17" i="10" s="1"/>
  <c r="E11" i="10"/>
  <c r="E17" i="10" s="1"/>
  <c r="J40" i="10" l="1"/>
  <c r="K40" i="10"/>
  <c r="G40" i="10"/>
  <c r="I40" i="10"/>
  <c r="E40" i="10"/>
  <c r="F40" i="10"/>
  <c r="H40" i="10"/>
  <c r="D40" i="10"/>
  <c r="W29" i="10"/>
  <c r="W60" i="10" s="1"/>
  <c r="V60" i="10"/>
  <c r="F21" i="10"/>
  <c r="F35" i="10"/>
  <c r="G35" i="10"/>
  <c r="G21" i="10"/>
  <c r="D21" i="10"/>
  <c r="D35" i="10"/>
  <c r="K35" i="10"/>
  <c r="K48" i="10" s="1"/>
  <c r="K21" i="10"/>
  <c r="H35" i="10"/>
  <c r="H21" i="10"/>
  <c r="I21" i="10"/>
  <c r="I35" i="10"/>
  <c r="E21" i="10"/>
  <c r="E35" i="10"/>
  <c r="E48" i="10" s="1"/>
  <c r="J35" i="10"/>
  <c r="J48" i="10" s="1"/>
  <c r="J21" i="10"/>
  <c r="I24" i="10"/>
  <c r="I27" i="10"/>
  <c r="I33" i="10"/>
  <c r="I30" i="10"/>
  <c r="G30" i="10"/>
  <c r="G27" i="10"/>
  <c r="G33" i="10"/>
  <c r="G24" i="10"/>
  <c r="D27" i="10"/>
  <c r="D33" i="10"/>
  <c r="D30" i="10"/>
  <c r="D24" i="10"/>
  <c r="E24" i="10"/>
  <c r="E27" i="10"/>
  <c r="E33" i="10"/>
  <c r="E30" i="10"/>
  <c r="E18" i="10"/>
  <c r="J33" i="10"/>
  <c r="J18" i="10"/>
  <c r="J24" i="10"/>
  <c r="J30" i="10"/>
  <c r="J27" i="10"/>
  <c r="K18" i="10"/>
  <c r="K27" i="10"/>
  <c r="K33" i="10"/>
  <c r="K30" i="10"/>
  <c r="K24" i="10"/>
  <c r="F24" i="10"/>
  <c r="F27" i="10"/>
  <c r="F33" i="10"/>
  <c r="F30" i="10"/>
  <c r="H30" i="10"/>
  <c r="H27" i="10"/>
  <c r="H24" i="10"/>
  <c r="H33" i="10"/>
  <c r="L33" i="10" l="1"/>
  <c r="M33" i="10" s="1"/>
  <c r="N33" i="10" s="1"/>
  <c r="L40" i="10"/>
  <c r="M40" i="10" s="1"/>
  <c r="N40" i="10" s="1"/>
  <c r="P40" i="10"/>
  <c r="Q40" i="10" s="1"/>
  <c r="R40" i="10" s="1"/>
  <c r="S40" i="10" s="1"/>
  <c r="I37" i="10"/>
  <c r="I48" i="10"/>
  <c r="F37" i="10"/>
  <c r="F48" i="10"/>
  <c r="G37" i="10"/>
  <c r="G48" i="10"/>
  <c r="H37" i="10"/>
  <c r="H48" i="10"/>
  <c r="J53" i="10"/>
  <c r="J50" i="10"/>
  <c r="J49" i="10"/>
  <c r="J55" i="10"/>
  <c r="J103" i="10" s="1"/>
  <c r="K53" i="10"/>
  <c r="K50" i="10"/>
  <c r="K55" i="10"/>
  <c r="K103" i="10" s="1"/>
  <c r="D37" i="10"/>
  <c r="D48" i="10"/>
  <c r="E49" i="10" s="1"/>
  <c r="E55" i="10"/>
  <c r="E103" i="10" s="1"/>
  <c r="E53" i="10"/>
  <c r="E50" i="10"/>
  <c r="E37" i="10"/>
  <c r="E36" i="10"/>
  <c r="K36" i="10"/>
  <c r="K37" i="10"/>
  <c r="J36" i="10"/>
  <c r="J37" i="10"/>
  <c r="P33" i="10" l="1"/>
  <c r="Q33" i="10" s="1"/>
  <c r="R33" i="10" s="1"/>
  <c r="S33" i="10" s="1"/>
  <c r="J59" i="10"/>
  <c r="J69" i="10" s="1"/>
  <c r="J56" i="10"/>
  <c r="E59" i="10"/>
  <c r="E69" i="10" s="1"/>
  <c r="E92" i="10" s="1"/>
  <c r="I53" i="10"/>
  <c r="I50" i="10"/>
  <c r="I55" i="10"/>
  <c r="K59" i="10"/>
  <c r="K69" i="10" s="1"/>
  <c r="K92" i="10" s="1"/>
  <c r="H55" i="10"/>
  <c r="H53" i="10"/>
  <c r="H50" i="10"/>
  <c r="F55" i="10"/>
  <c r="F50" i="10"/>
  <c r="F53" i="10"/>
  <c r="D53" i="10"/>
  <c r="D50" i="10"/>
  <c r="D55" i="10"/>
  <c r="K49" i="10"/>
  <c r="G53" i="10"/>
  <c r="G55" i="10"/>
  <c r="G50" i="10"/>
  <c r="H59" i="10" l="1"/>
  <c r="H69" i="10" s="1"/>
  <c r="H103" i="10"/>
  <c r="D59" i="10"/>
  <c r="D69" i="10" s="1"/>
  <c r="D103" i="10"/>
  <c r="I59" i="10"/>
  <c r="I69" i="10" s="1"/>
  <c r="I103" i="10"/>
  <c r="G59" i="10"/>
  <c r="G69" i="10" s="1"/>
  <c r="G103" i="10"/>
  <c r="F59" i="10"/>
  <c r="F69" i="10" s="1"/>
  <c r="F103" i="10"/>
  <c r="K104" i="10"/>
  <c r="E104" i="10"/>
  <c r="K70" i="10"/>
  <c r="K71" i="10"/>
  <c r="E71" i="10"/>
  <c r="J71" i="10"/>
  <c r="J70" i="10"/>
  <c r="K56" i="10"/>
  <c r="E56" i="10"/>
  <c r="G71" i="10" l="1"/>
  <c r="G92" i="10"/>
  <c r="G104" i="10" s="1"/>
  <c r="D71" i="10"/>
  <c r="D92" i="10"/>
  <c r="I71" i="10"/>
  <c r="I92" i="10"/>
  <c r="I104" i="10" s="1"/>
  <c r="E70" i="10"/>
  <c r="F71" i="10"/>
  <c r="F92" i="10"/>
  <c r="H71" i="10"/>
  <c r="H92" i="10"/>
  <c r="H104" i="10" s="1"/>
  <c r="E78" i="8"/>
  <c r="F78" i="8"/>
  <c r="G78" i="8"/>
  <c r="H78" i="8"/>
  <c r="I78" i="8"/>
  <c r="J78" i="8"/>
  <c r="K78" i="8"/>
  <c r="K79" i="8" s="1"/>
  <c r="D78" i="8"/>
  <c r="V45" i="8"/>
  <c r="W45" i="8" s="1"/>
  <c r="U45" i="8"/>
  <c r="T45" i="8"/>
  <c r="R45" i="8"/>
  <c r="S45" i="8" s="1"/>
  <c r="Q45" i="8"/>
  <c r="P45" i="8"/>
  <c r="N45" i="8"/>
  <c r="N44" i="8" s="1"/>
  <c r="M45" i="8"/>
  <c r="R34" i="8"/>
  <c r="S34" i="8"/>
  <c r="Q34" i="8"/>
  <c r="P34" i="8"/>
  <c r="N34" i="8"/>
  <c r="M34" i="8"/>
  <c r="R35" i="8"/>
  <c r="S35" i="8"/>
  <c r="Q35" i="8"/>
  <c r="N35" i="8"/>
  <c r="M35" i="8"/>
  <c r="O35" i="8" s="1"/>
  <c r="P35" i="8"/>
  <c r="W37" i="8"/>
  <c r="V37" i="8"/>
  <c r="U37" i="8"/>
  <c r="R37" i="8"/>
  <c r="S37" i="8" s="1"/>
  <c r="Q37" i="8"/>
  <c r="P37" i="8"/>
  <c r="N37" i="8"/>
  <c r="M37" i="8"/>
  <c r="P38" i="8"/>
  <c r="Q38" i="8" s="1"/>
  <c r="R38" i="8" s="1"/>
  <c r="S38" i="8" s="1"/>
  <c r="M38" i="8"/>
  <c r="N38" i="8" s="1"/>
  <c r="O38" i="8" s="1"/>
  <c r="E75" i="8"/>
  <c r="F75" i="8"/>
  <c r="G75" i="8"/>
  <c r="H75" i="8"/>
  <c r="I75" i="8"/>
  <c r="J75" i="8"/>
  <c r="K75" i="8"/>
  <c r="L75" i="8"/>
  <c r="D75" i="8"/>
  <c r="E76" i="8" s="1"/>
  <c r="E72" i="8"/>
  <c r="F72" i="8"/>
  <c r="G72" i="8"/>
  <c r="H72" i="8"/>
  <c r="I72" i="8"/>
  <c r="J72" i="8"/>
  <c r="K72" i="8"/>
  <c r="D72" i="8"/>
  <c r="E69" i="8"/>
  <c r="F69" i="8"/>
  <c r="G69" i="8"/>
  <c r="H69" i="8"/>
  <c r="I69" i="8"/>
  <c r="J69" i="8"/>
  <c r="J70" i="8" s="1"/>
  <c r="K69" i="8"/>
  <c r="K70" i="8" s="1"/>
  <c r="D69" i="8"/>
  <c r="K76" i="8"/>
  <c r="J76" i="8"/>
  <c r="L65" i="8"/>
  <c r="K65" i="8"/>
  <c r="J65" i="8"/>
  <c r="E65" i="8"/>
  <c r="P64" i="8"/>
  <c r="P15" i="10" s="1"/>
  <c r="M64" i="8"/>
  <c r="M15" i="10" s="1"/>
  <c r="J64" i="8"/>
  <c r="F59" i="8"/>
  <c r="G59" i="8"/>
  <c r="H59" i="8"/>
  <c r="I59" i="8"/>
  <c r="J59" i="8"/>
  <c r="K59" i="8"/>
  <c r="K60" i="8" s="1"/>
  <c r="E59" i="8"/>
  <c r="J60" i="8" s="1"/>
  <c r="D59" i="8"/>
  <c r="K13" i="9"/>
  <c r="L13" i="9" s="1"/>
  <c r="M13" i="9" s="1"/>
  <c r="N13" i="9" s="1"/>
  <c r="J13" i="9"/>
  <c r="G13" i="9"/>
  <c r="H13" i="9"/>
  <c r="I13" i="9"/>
  <c r="F13" i="9"/>
  <c r="E13" i="9"/>
  <c r="O7" i="9"/>
  <c r="L7" i="9"/>
  <c r="N11" i="9"/>
  <c r="M11" i="9"/>
  <c r="J56" i="8"/>
  <c r="J57" i="8"/>
  <c r="F11" i="9"/>
  <c r="G11" i="9"/>
  <c r="H11" i="9"/>
  <c r="I11" i="9"/>
  <c r="J11" i="9"/>
  <c r="K11" i="9"/>
  <c r="E11" i="9"/>
  <c r="K8" i="9"/>
  <c r="J8" i="9"/>
  <c r="I8" i="9"/>
  <c r="H8" i="9"/>
  <c r="G8" i="9"/>
  <c r="F8" i="9"/>
  <c r="E8" i="9"/>
  <c r="K7" i="9"/>
  <c r="J7" i="9"/>
  <c r="I7" i="9"/>
  <c r="H7" i="9"/>
  <c r="G7" i="9"/>
  <c r="F7" i="9"/>
  <c r="J9" i="9"/>
  <c r="D24" i="8"/>
  <c r="E24" i="8"/>
  <c r="F24" i="8"/>
  <c r="E5" i="9"/>
  <c r="J5" i="9" s="1"/>
  <c r="O5" i="9" s="1"/>
  <c r="T5" i="9" s="1"/>
  <c r="U5" i="9" s="1"/>
  <c r="V5" i="9" s="1"/>
  <c r="W5" i="9" s="1"/>
  <c r="Q56" i="8"/>
  <c r="Q9" i="10" s="1"/>
  <c r="R56" i="8"/>
  <c r="R9" i="10" s="1"/>
  <c r="S56" i="8"/>
  <c r="S9" i="10" s="1"/>
  <c r="P56" i="8"/>
  <c r="P9" i="10" s="1"/>
  <c r="O56" i="8"/>
  <c r="M56" i="8"/>
  <c r="N56" i="8" s="1"/>
  <c r="L56" i="8"/>
  <c r="E54" i="8"/>
  <c r="E51" i="8"/>
  <c r="M48" i="8"/>
  <c r="N48" i="8" s="1"/>
  <c r="M47" i="8"/>
  <c r="N47" i="8" s="1"/>
  <c r="J50" i="8"/>
  <c r="L42" i="8"/>
  <c r="L50" i="8" s="1"/>
  <c r="L7" i="10" s="1"/>
  <c r="O32" i="8"/>
  <c r="L41" i="8"/>
  <c r="L9" i="9" s="1"/>
  <c r="L10" i="9" s="1"/>
  <c r="L57" i="8" s="1"/>
  <c r="L10" i="10" s="1"/>
  <c r="T40" i="8"/>
  <c r="O40" i="8"/>
  <c r="T39" i="8"/>
  <c r="O39" i="8"/>
  <c r="L32" i="8"/>
  <c r="L36" i="8"/>
  <c r="Q44" i="8"/>
  <c r="P44" i="8"/>
  <c r="L33" i="8"/>
  <c r="P27" i="8"/>
  <c r="P24" i="8"/>
  <c r="S19" i="8"/>
  <c r="S20" i="8" s="1"/>
  <c r="P21" i="8"/>
  <c r="Q21" i="8"/>
  <c r="R21" i="8"/>
  <c r="P20" i="8"/>
  <c r="Q20" i="8"/>
  <c r="R20" i="8"/>
  <c r="Q19" i="8"/>
  <c r="R19" i="8" s="1"/>
  <c r="S8" i="8"/>
  <c r="R8" i="8"/>
  <c r="Q8" i="8"/>
  <c r="P8" i="8"/>
  <c r="S11" i="8"/>
  <c r="R11" i="8"/>
  <c r="Q11" i="8"/>
  <c r="P11" i="8"/>
  <c r="P7" i="8"/>
  <c r="Q7" i="8"/>
  <c r="R7" i="8"/>
  <c r="S7" i="8"/>
  <c r="P10" i="8"/>
  <c r="Q10" i="8"/>
  <c r="R10" i="8"/>
  <c r="S10" i="8"/>
  <c r="T16" i="8"/>
  <c r="T14" i="8"/>
  <c r="O14" i="8"/>
  <c r="O17" i="8"/>
  <c r="O16" i="8"/>
  <c r="P16" i="8" s="1"/>
  <c r="Q16" i="8" s="1"/>
  <c r="R16" i="8" s="1"/>
  <c r="S16" i="8" s="1"/>
  <c r="T13" i="8"/>
  <c r="O13" i="8"/>
  <c r="P13" i="8"/>
  <c r="Q13" i="8" s="1"/>
  <c r="R13" i="8" s="1"/>
  <c r="S13" i="8" s="1"/>
  <c r="P19" i="8"/>
  <c r="T22" i="8"/>
  <c r="M44" i="8"/>
  <c r="R44" i="8" s="1"/>
  <c r="R33" i="8" s="1"/>
  <c r="L44" i="8"/>
  <c r="K45" i="8"/>
  <c r="K54" i="8"/>
  <c r="J54" i="8"/>
  <c r="K51" i="8"/>
  <c r="J51" i="8"/>
  <c r="G47" i="8"/>
  <c r="H47" i="8"/>
  <c r="I47" i="8"/>
  <c r="F47" i="8"/>
  <c r="J48" i="8"/>
  <c r="G48" i="8"/>
  <c r="H48" i="8"/>
  <c r="I48" i="8"/>
  <c r="F48" i="8"/>
  <c r="K48" i="8"/>
  <c r="E48" i="8"/>
  <c r="K47" i="8"/>
  <c r="J47" i="8"/>
  <c r="E47" i="8"/>
  <c r="K41" i="8"/>
  <c r="F41" i="8"/>
  <c r="G41" i="8"/>
  <c r="H41" i="8"/>
  <c r="I41" i="8"/>
  <c r="E41" i="8"/>
  <c r="J40" i="8"/>
  <c r="J39" i="8"/>
  <c r="J38" i="8"/>
  <c r="K37" i="8"/>
  <c r="E37" i="8"/>
  <c r="G37" i="8"/>
  <c r="H37" i="8"/>
  <c r="I37" i="8"/>
  <c r="F37" i="8"/>
  <c r="J33" i="8"/>
  <c r="J34" i="8" s="1"/>
  <c r="J35" i="8"/>
  <c r="J36" i="8"/>
  <c r="J37" i="8" s="1"/>
  <c r="F34" i="8"/>
  <c r="G34" i="8"/>
  <c r="H34" i="8"/>
  <c r="I34" i="8"/>
  <c r="K28" i="8"/>
  <c r="J27" i="8"/>
  <c r="G24" i="8"/>
  <c r="L24" i="8" s="1"/>
  <c r="Q24" i="8" s="1"/>
  <c r="Q27" i="8" s="1"/>
  <c r="Q28" i="8" s="1"/>
  <c r="H24" i="8"/>
  <c r="M24" i="8" s="1"/>
  <c r="R24" i="8" s="1"/>
  <c r="R27" i="8" s="1"/>
  <c r="I24" i="8"/>
  <c r="N24" i="8" s="1"/>
  <c r="S24" i="8" s="1"/>
  <c r="S27" i="8" s="1"/>
  <c r="S28" i="8" s="1"/>
  <c r="K20" i="8"/>
  <c r="J19" i="8"/>
  <c r="E34" i="8"/>
  <c r="K34" i="8"/>
  <c r="J45" i="8"/>
  <c r="P28" i="8" l="1"/>
  <c r="P13" i="10"/>
  <c r="P69" i="8"/>
  <c r="R13" i="10"/>
  <c r="R69" i="8"/>
  <c r="Q13" i="10"/>
  <c r="Q69" i="8"/>
  <c r="S13" i="10"/>
  <c r="S69" i="8"/>
  <c r="D104" i="10"/>
  <c r="E93" i="10"/>
  <c r="J92" i="10"/>
  <c r="F104" i="10"/>
  <c r="K93" i="10"/>
  <c r="M65" i="8"/>
  <c r="P75" i="8"/>
  <c r="Q64" i="8"/>
  <c r="Q75" i="8" s="1"/>
  <c r="L76" i="8"/>
  <c r="M32" i="8"/>
  <c r="L8" i="9"/>
  <c r="L53" i="8"/>
  <c r="L59" i="8" s="1"/>
  <c r="L72" i="8" s="1"/>
  <c r="M7" i="9"/>
  <c r="L8" i="10"/>
  <c r="L11" i="10" s="1"/>
  <c r="M75" i="8"/>
  <c r="M76" i="8" s="1"/>
  <c r="R64" i="8"/>
  <c r="Q15" i="10"/>
  <c r="J79" i="8"/>
  <c r="E79" i="8"/>
  <c r="S44" i="8"/>
  <c r="S33" i="8" s="1"/>
  <c r="Q33" i="8"/>
  <c r="P33" i="8"/>
  <c r="N33" i="8"/>
  <c r="M33" i="8"/>
  <c r="O33" i="8" s="1"/>
  <c r="O34" i="8" s="1"/>
  <c r="T35" i="8"/>
  <c r="U35" i="8" s="1"/>
  <c r="V35" i="8" s="1"/>
  <c r="W35" i="8" s="1"/>
  <c r="T38" i="8"/>
  <c r="U38" i="8" s="1"/>
  <c r="V38" i="8" s="1"/>
  <c r="W38" i="8" s="1"/>
  <c r="K73" i="8"/>
  <c r="E70" i="8"/>
  <c r="E73" i="8" s="1"/>
  <c r="N64" i="8"/>
  <c r="E60" i="8"/>
  <c r="L60" i="8"/>
  <c r="T56" i="8"/>
  <c r="L51" i="8"/>
  <c r="M36" i="8"/>
  <c r="M41" i="8" s="1"/>
  <c r="T24" i="8"/>
  <c r="T19" i="8"/>
  <c r="S21" i="8"/>
  <c r="O44" i="8"/>
  <c r="O45" i="8" s="1"/>
  <c r="J41" i="8"/>
  <c r="J24" i="8"/>
  <c r="V22" i="8"/>
  <c r="W22" i="8" s="1"/>
  <c r="J93" i="10" l="1"/>
  <c r="J104" i="10"/>
  <c r="L73" i="8"/>
  <c r="L54" i="8"/>
  <c r="N15" i="10"/>
  <c r="N65" i="8"/>
  <c r="N75" i="8"/>
  <c r="N76" i="8" s="1"/>
  <c r="S64" i="8"/>
  <c r="R15" i="10"/>
  <c r="R75" i="8"/>
  <c r="O64" i="8"/>
  <c r="U56" i="8"/>
  <c r="T9" i="10"/>
  <c r="T33" i="8"/>
  <c r="N32" i="8"/>
  <c r="M9" i="9"/>
  <c r="M42" i="8"/>
  <c r="J73" i="8"/>
  <c r="T44" i="8"/>
  <c r="U44" i="8" s="1"/>
  <c r="V44" i="8" s="1"/>
  <c r="W44" i="8" s="1"/>
  <c r="T64" i="8" l="1"/>
  <c r="S15" i="10"/>
  <c r="S75" i="8"/>
  <c r="O15" i="10"/>
  <c r="O65" i="8"/>
  <c r="O75" i="8"/>
  <c r="O76" i="8" s="1"/>
  <c r="V56" i="8"/>
  <c r="U9" i="10"/>
  <c r="T34" i="8"/>
  <c r="U34" i="8" s="1"/>
  <c r="N36" i="8"/>
  <c r="M50" i="8"/>
  <c r="M7" i="10" s="1"/>
  <c r="M53" i="8"/>
  <c r="M8" i="10" s="1"/>
  <c r="M8" i="9"/>
  <c r="N7" i="9"/>
  <c r="M10" i="9"/>
  <c r="U64" i="8" l="1"/>
  <c r="T15" i="10"/>
  <c r="T65" i="8"/>
  <c r="T75" i="8"/>
  <c r="T76" i="8" s="1"/>
  <c r="W56" i="8"/>
  <c r="W9" i="10" s="1"/>
  <c r="V9" i="10"/>
  <c r="V34" i="8"/>
  <c r="U33" i="8"/>
  <c r="M54" i="8"/>
  <c r="M57" i="8"/>
  <c r="M51" i="8"/>
  <c r="N41" i="8"/>
  <c r="O36" i="8"/>
  <c r="M59" i="8" l="1"/>
  <c r="M10" i="10"/>
  <c r="M11" i="10" s="1"/>
  <c r="V64" i="8"/>
  <c r="U15" i="10"/>
  <c r="U65" i="8"/>
  <c r="U75" i="8"/>
  <c r="U76" i="8" s="1"/>
  <c r="W34" i="8"/>
  <c r="W33" i="8" s="1"/>
  <c r="V33" i="8"/>
  <c r="O41" i="8"/>
  <c r="O37" i="8"/>
  <c r="N9" i="9"/>
  <c r="N42" i="8"/>
  <c r="M72" i="8"/>
  <c r="M60" i="8"/>
  <c r="J25" i="8"/>
  <c r="K24" i="8"/>
  <c r="K25" i="8" s="1"/>
  <c r="J28" i="8"/>
  <c r="E28" i="8"/>
  <c r="J20" i="8"/>
  <c r="E20" i="8"/>
  <c r="J17" i="8"/>
  <c r="E17" i="8"/>
  <c r="L16" i="8"/>
  <c r="M16" i="8" s="1"/>
  <c r="N16" i="8" s="1"/>
  <c r="J14" i="8"/>
  <c r="E14" i="8"/>
  <c r="M13" i="8"/>
  <c r="K10" i="8"/>
  <c r="J10" i="8"/>
  <c r="E10" i="8"/>
  <c r="D10" i="8"/>
  <c r="D21" i="8" s="1"/>
  <c r="K7" i="8"/>
  <c r="J7" i="8"/>
  <c r="E7" i="8"/>
  <c r="D7" i="8"/>
  <c r="E5" i="8"/>
  <c r="J5" i="8" s="1"/>
  <c r="O5" i="8" s="1"/>
  <c r="T5" i="8" s="1"/>
  <c r="U5" i="8" s="1"/>
  <c r="V5" i="8" s="1"/>
  <c r="W5" i="8" s="1"/>
  <c r="G29" i="1"/>
  <c r="G24" i="1"/>
  <c r="F19" i="1"/>
  <c r="E19" i="1"/>
  <c r="E20" i="1"/>
  <c r="F20" i="1"/>
  <c r="G9" i="1"/>
  <c r="G20" i="1" s="1"/>
  <c r="F9" i="1"/>
  <c r="E9" i="1"/>
  <c r="D9" i="1"/>
  <c r="D20" i="1" s="1"/>
  <c r="F16" i="1"/>
  <c r="E16" i="1"/>
  <c r="H15" i="1"/>
  <c r="I15" i="1" s="1"/>
  <c r="J15" i="1" s="1"/>
  <c r="H12" i="1"/>
  <c r="K16" i="1"/>
  <c r="K15" i="1" s="1"/>
  <c r="L15" i="1" s="1"/>
  <c r="M15" i="1" s="1"/>
  <c r="N15" i="1" s="1"/>
  <c r="O15" i="1" s="1"/>
  <c r="K13" i="1"/>
  <c r="K12" i="1" s="1"/>
  <c r="L12" i="1" s="1"/>
  <c r="M12" i="1" s="1"/>
  <c r="N12" i="1" s="1"/>
  <c r="E6" i="1"/>
  <c r="F6" i="1"/>
  <c r="G6" i="1"/>
  <c r="D6" i="1"/>
  <c r="F13" i="1"/>
  <c r="E13" i="1"/>
  <c r="W64" i="8" l="1"/>
  <c r="V15" i="10"/>
  <c r="V75" i="8"/>
  <c r="V76" i="8" s="1"/>
  <c r="V65" i="8"/>
  <c r="M73" i="8"/>
  <c r="N50" i="8"/>
  <c r="N7" i="10" s="1"/>
  <c r="N53" i="8"/>
  <c r="N8" i="10" s="1"/>
  <c r="O42" i="8"/>
  <c r="N8" i="9"/>
  <c r="O8" i="9" s="1"/>
  <c r="N10" i="9"/>
  <c r="T32" i="8"/>
  <c r="P32" i="8"/>
  <c r="E8" i="8"/>
  <c r="E21" i="8"/>
  <c r="E22" i="8"/>
  <c r="J21" i="8"/>
  <c r="J22" i="8"/>
  <c r="K21" i="8"/>
  <c r="K22" i="8"/>
  <c r="O22" i="8" s="1"/>
  <c r="J8" i="8"/>
  <c r="O10" i="8"/>
  <c r="O11" i="8" s="1"/>
  <c r="O7" i="8"/>
  <c r="O8" i="8" s="1"/>
  <c r="E25" i="8"/>
  <c r="N13" i="8"/>
  <c r="M7" i="8"/>
  <c r="M10" i="8"/>
  <c r="L10" i="8"/>
  <c r="E11" i="8"/>
  <c r="J11" i="8"/>
  <c r="L8" i="8"/>
  <c r="K9" i="1"/>
  <c r="K10" i="1" s="1"/>
  <c r="E10" i="1"/>
  <c r="N9" i="1"/>
  <c r="F10" i="1"/>
  <c r="L9" i="1"/>
  <c r="L10" i="1" s="1"/>
  <c r="H9" i="1"/>
  <c r="H10" i="1" s="1"/>
  <c r="M9" i="1"/>
  <c r="N10" i="1" s="1"/>
  <c r="E7" i="1"/>
  <c r="F7" i="1"/>
  <c r="H6" i="1"/>
  <c r="H7" i="1" s="1"/>
  <c r="I12" i="1"/>
  <c r="K6" i="1"/>
  <c r="K7" i="1" s="1"/>
  <c r="L6" i="1"/>
  <c r="O12" i="1"/>
  <c r="N6" i="1"/>
  <c r="M6" i="1"/>
  <c r="W15" i="10" l="1"/>
  <c r="W75" i="8"/>
  <c r="W76" i="8" s="1"/>
  <c r="W65" i="8"/>
  <c r="P36" i="8"/>
  <c r="N57" i="8"/>
  <c r="O10" i="9"/>
  <c r="N54" i="8"/>
  <c r="O53" i="8"/>
  <c r="O8" i="10" s="1"/>
  <c r="N51" i="8"/>
  <c r="O50" i="8"/>
  <c r="O7" i="10" s="1"/>
  <c r="M8" i="8"/>
  <c r="L11" i="8"/>
  <c r="L19" i="8"/>
  <c r="L20" i="8" s="1"/>
  <c r="N7" i="8"/>
  <c r="N8" i="8" s="1"/>
  <c r="N10" i="8"/>
  <c r="N11" i="8" s="1"/>
  <c r="U13" i="8"/>
  <c r="M11" i="8"/>
  <c r="M10" i="1"/>
  <c r="O6" i="1"/>
  <c r="O7" i="1" s="1"/>
  <c r="O9" i="1"/>
  <c r="O10" i="1" s="1"/>
  <c r="J12" i="1"/>
  <c r="I9" i="1"/>
  <c r="I10" i="1" s="1"/>
  <c r="L7" i="1"/>
  <c r="I6" i="1"/>
  <c r="I7" i="1" s="1"/>
  <c r="M7" i="1"/>
  <c r="N7" i="1"/>
  <c r="O57" i="8" l="1"/>
  <c r="O10" i="10" s="1"/>
  <c r="N10" i="10"/>
  <c r="N11" i="10" s="1"/>
  <c r="O11" i="10"/>
  <c r="O13" i="9"/>
  <c r="P13" i="9" s="1"/>
  <c r="Q13" i="9" s="1"/>
  <c r="R13" i="9" s="1"/>
  <c r="S13" i="9" s="1"/>
  <c r="O54" i="8"/>
  <c r="O48" i="8"/>
  <c r="P48" i="8" s="1"/>
  <c r="O51" i="8"/>
  <c r="O59" i="8"/>
  <c r="O47" i="8"/>
  <c r="P47" i="8" s="1"/>
  <c r="N59" i="8"/>
  <c r="P41" i="8"/>
  <c r="M19" i="8"/>
  <c r="M20" i="8" s="1"/>
  <c r="L21" i="8"/>
  <c r="V13" i="8"/>
  <c r="J6" i="1"/>
  <c r="J7" i="1" s="1"/>
  <c r="J9" i="1"/>
  <c r="J10" i="1" s="1"/>
  <c r="Q32" i="8" l="1"/>
  <c r="P42" i="8"/>
  <c r="P53" i="8" s="1"/>
  <c r="P8" i="10" s="1"/>
  <c r="N72" i="8"/>
  <c r="N60" i="8"/>
  <c r="Q47" i="8"/>
  <c r="R47" i="8" s="1"/>
  <c r="S47" i="8" s="1"/>
  <c r="O72" i="8"/>
  <c r="O60" i="8"/>
  <c r="Q48" i="8"/>
  <c r="N19" i="8"/>
  <c r="N20" i="8" s="1"/>
  <c r="M21" i="8"/>
  <c r="W13" i="8"/>
  <c r="N73" i="8" l="1"/>
  <c r="O73" i="8"/>
  <c r="P50" i="8"/>
  <c r="R48" i="8"/>
  <c r="P54" i="8"/>
  <c r="Q36" i="8"/>
  <c r="O19" i="8"/>
  <c r="N21" i="8"/>
  <c r="P51" i="8" l="1"/>
  <c r="P7" i="10"/>
  <c r="S48" i="8"/>
  <c r="Q41" i="8"/>
  <c r="O21" i="8"/>
  <c r="O20" i="8"/>
  <c r="E4" i="1"/>
  <c r="F4" i="1" s="1"/>
  <c r="K4" i="1" s="1"/>
  <c r="L4" i="1" s="1"/>
  <c r="M4" i="1" s="1"/>
  <c r="N4" i="1" s="1"/>
  <c r="O4" i="1" s="1"/>
  <c r="R32" i="8" l="1"/>
  <c r="Q42" i="8"/>
  <c r="M27" i="8"/>
  <c r="N27" i="8"/>
  <c r="O24" i="8"/>
  <c r="T25" i="8" s="1"/>
  <c r="L27" i="8"/>
  <c r="M28" i="8" l="1"/>
  <c r="M13" i="10"/>
  <c r="M17" i="10" s="1"/>
  <c r="M69" i="8"/>
  <c r="L13" i="10"/>
  <c r="L17" i="10" s="1"/>
  <c r="L69" i="8"/>
  <c r="N28" i="8"/>
  <c r="N13" i="10"/>
  <c r="N17" i="10" s="1"/>
  <c r="N69" i="8"/>
  <c r="Q50" i="8"/>
  <c r="Q7" i="10" s="1"/>
  <c r="Q53" i="8"/>
  <c r="Q8" i="10" s="1"/>
  <c r="R36" i="8"/>
  <c r="L28" i="8"/>
  <c r="O27" i="8"/>
  <c r="O25" i="8"/>
  <c r="M70" i="8" l="1"/>
  <c r="M78" i="8"/>
  <c r="M79" i="8" s="1"/>
  <c r="M32" i="10"/>
  <c r="M61" i="10" s="1"/>
  <c r="M30" i="10"/>
  <c r="M23" i="10"/>
  <c r="M20" i="10"/>
  <c r="M18" i="10"/>
  <c r="M26" i="10"/>
  <c r="M39" i="10"/>
  <c r="M62" i="10" s="1"/>
  <c r="L70" i="8"/>
  <c r="L78" i="8"/>
  <c r="L79" i="8" s="1"/>
  <c r="L32" i="10"/>
  <c r="L61" i="10" s="1"/>
  <c r="L23" i="10"/>
  <c r="L20" i="10"/>
  <c r="L26" i="10"/>
  <c r="L35" i="10" s="1"/>
  <c r="L18" i="10"/>
  <c r="L30" i="10"/>
  <c r="L39" i="10"/>
  <c r="L62" i="10" s="1"/>
  <c r="N70" i="8"/>
  <c r="N78" i="8"/>
  <c r="N79" i="8" s="1"/>
  <c r="O28" i="8"/>
  <c r="O13" i="10"/>
  <c r="O17" i="10" s="1"/>
  <c r="O69" i="8"/>
  <c r="N32" i="10"/>
  <c r="N26" i="10"/>
  <c r="N23" i="10"/>
  <c r="N39" i="10"/>
  <c r="N30" i="10"/>
  <c r="N20" i="10"/>
  <c r="N18" i="10"/>
  <c r="R41" i="8"/>
  <c r="Q51" i="8"/>
  <c r="Q54" i="8"/>
  <c r="U24" i="8"/>
  <c r="M35" i="10" l="1"/>
  <c r="M48" i="10" s="1"/>
  <c r="N35" i="10"/>
  <c r="N36" i="10" s="1"/>
  <c r="O20" i="10"/>
  <c r="O21" i="10" s="1"/>
  <c r="L37" i="10"/>
  <c r="L36" i="10"/>
  <c r="L48" i="10"/>
  <c r="O23" i="10"/>
  <c r="O24" i="10" s="1"/>
  <c r="O26" i="10"/>
  <c r="O27" i="10" s="1"/>
  <c r="N61" i="10"/>
  <c r="O32" i="10"/>
  <c r="O33" i="10" s="1"/>
  <c r="N48" i="10"/>
  <c r="O70" i="8"/>
  <c r="O78" i="8"/>
  <c r="O79" i="8" s="1"/>
  <c r="O30" i="10"/>
  <c r="O18" i="10"/>
  <c r="O39" i="10"/>
  <c r="N62" i="10"/>
  <c r="S32" i="8"/>
  <c r="S36" i="8" s="1"/>
  <c r="R42" i="8"/>
  <c r="V24" i="8"/>
  <c r="M36" i="10" l="1"/>
  <c r="N37" i="10"/>
  <c r="M37" i="10"/>
  <c r="O35" i="10"/>
  <c r="O36" i="10" s="1"/>
  <c r="M49" i="10"/>
  <c r="M52" i="10"/>
  <c r="M64" i="10" s="1"/>
  <c r="M50" i="10"/>
  <c r="M55" i="10"/>
  <c r="L52" i="10"/>
  <c r="L64" i="10" s="1"/>
  <c r="L49" i="10"/>
  <c r="L50" i="10"/>
  <c r="N49" i="10"/>
  <c r="N52" i="10"/>
  <c r="N55" i="10" s="1"/>
  <c r="N50" i="10"/>
  <c r="O37" i="10"/>
  <c r="O48" i="10"/>
  <c r="O40" i="10"/>
  <c r="S41" i="8"/>
  <c r="S42" i="8" s="1"/>
  <c r="T42" i="8" s="1"/>
  <c r="T36" i="8"/>
  <c r="R50" i="8"/>
  <c r="R7" i="10" s="1"/>
  <c r="R53" i="8"/>
  <c r="R8" i="10" s="1"/>
  <c r="W24" i="8"/>
  <c r="T10" i="8"/>
  <c r="T11" i="8"/>
  <c r="V16" i="8"/>
  <c r="V10" i="8" s="1"/>
  <c r="U16" i="8"/>
  <c r="U7" i="8" s="1"/>
  <c r="U8" i="8" s="1"/>
  <c r="T8" i="8"/>
  <c r="T17" i="8"/>
  <c r="T7" i="8"/>
  <c r="L55" i="10" l="1"/>
  <c r="M103" i="10"/>
  <c r="M56" i="10"/>
  <c r="M59" i="10"/>
  <c r="M69" i="10" s="1"/>
  <c r="L103" i="10"/>
  <c r="L56" i="10"/>
  <c r="L59" i="10"/>
  <c r="L69" i="10" s="1"/>
  <c r="O50" i="10"/>
  <c r="O49" i="10"/>
  <c r="N56" i="10"/>
  <c r="N103" i="10"/>
  <c r="N59" i="10"/>
  <c r="N64" i="10"/>
  <c r="O52" i="10"/>
  <c r="O55" i="10" s="1"/>
  <c r="R54" i="8"/>
  <c r="T37" i="8"/>
  <c r="T41" i="8"/>
  <c r="U32" i="8" s="1"/>
  <c r="R51" i="8"/>
  <c r="S50" i="8"/>
  <c r="S7" i="10" s="1"/>
  <c r="S53" i="8"/>
  <c r="T27" i="8"/>
  <c r="T21" i="8"/>
  <c r="T20" i="8"/>
  <c r="U10" i="8"/>
  <c r="U11" i="8" s="1"/>
  <c r="W16" i="8"/>
  <c r="V7" i="8"/>
  <c r="V8" i="8" s="1"/>
  <c r="N69" i="10" l="1"/>
  <c r="M92" i="10"/>
  <c r="M70" i="10"/>
  <c r="M71" i="10"/>
  <c r="L92" i="10"/>
  <c r="L71" i="10"/>
  <c r="L70" i="10"/>
  <c r="O103" i="10"/>
  <c r="O56" i="10"/>
  <c r="O59" i="10"/>
  <c r="O53" i="10"/>
  <c r="N92" i="10"/>
  <c r="N70" i="10"/>
  <c r="N71" i="10"/>
  <c r="T28" i="8"/>
  <c r="T13" i="10"/>
  <c r="T69" i="8"/>
  <c r="T70" i="8" s="1"/>
  <c r="S54" i="8"/>
  <c r="S8" i="10"/>
  <c r="T53" i="8"/>
  <c r="S51" i="8"/>
  <c r="T50" i="8"/>
  <c r="T7" i="10" s="1"/>
  <c r="U36" i="8"/>
  <c r="U41" i="8" s="1"/>
  <c r="U19" i="8"/>
  <c r="W7" i="8"/>
  <c r="W8" i="8" s="1"/>
  <c r="W10" i="8"/>
  <c r="W11" i="8" s="1"/>
  <c r="V11" i="8"/>
  <c r="M104" i="10" l="1"/>
  <c r="M93" i="10"/>
  <c r="L104" i="10"/>
  <c r="L93" i="10"/>
  <c r="N104" i="10"/>
  <c r="N93" i="10"/>
  <c r="O92" i="10"/>
  <c r="O69" i="10"/>
  <c r="T48" i="8"/>
  <c r="U48" i="8" s="1"/>
  <c r="T8" i="10"/>
  <c r="T54" i="8"/>
  <c r="V32" i="8"/>
  <c r="U42" i="8"/>
  <c r="U53" i="8" s="1"/>
  <c r="V48" i="8"/>
  <c r="T51" i="8"/>
  <c r="T47" i="8"/>
  <c r="U47" i="8" s="1"/>
  <c r="V47" i="8" s="1"/>
  <c r="W47" i="8" s="1"/>
  <c r="U20" i="8"/>
  <c r="V19" i="8"/>
  <c r="U21" i="8"/>
  <c r="U27" i="8"/>
  <c r="O70" i="10" l="1"/>
  <c r="O71" i="10"/>
  <c r="O93" i="10"/>
  <c r="O104" i="10"/>
  <c r="O108" i="10" s="1"/>
  <c r="U54" i="8"/>
  <c r="U8" i="10"/>
  <c r="U28" i="8"/>
  <c r="U13" i="10"/>
  <c r="U69" i="8"/>
  <c r="U70" i="8" s="1"/>
  <c r="V36" i="8"/>
  <c r="V41" i="8" s="1"/>
  <c r="W32" i="8" s="1"/>
  <c r="W48" i="8"/>
  <c r="U50" i="8"/>
  <c r="U7" i="10" s="1"/>
  <c r="V20" i="8"/>
  <c r="V21" i="8"/>
  <c r="W19" i="8"/>
  <c r="V27" i="8"/>
  <c r="V13" i="10" s="1"/>
  <c r="V28" i="8" l="1"/>
  <c r="V69" i="8"/>
  <c r="W36" i="8"/>
  <c r="W41" i="8" s="1"/>
  <c r="W42" i="8" s="1"/>
  <c r="U51" i="8"/>
  <c r="V42" i="8"/>
  <c r="W21" i="8"/>
  <c r="W27" i="8"/>
  <c r="W13" i="10" s="1"/>
  <c r="W20" i="8"/>
  <c r="O9" i="9"/>
  <c r="W28" i="8" l="1"/>
  <c r="W69" i="8"/>
  <c r="W70" i="8" s="1"/>
  <c r="V70" i="8"/>
  <c r="W50" i="8"/>
  <c r="W7" i="10" s="1"/>
  <c r="W53" i="8"/>
  <c r="W8" i="10" s="1"/>
  <c r="V50" i="8"/>
  <c r="V7" i="10" s="1"/>
  <c r="V53" i="8"/>
  <c r="O11" i="9"/>
  <c r="P11" i="9" s="1"/>
  <c r="P7" i="9"/>
  <c r="T7" i="9"/>
  <c r="V54" i="8" l="1"/>
  <c r="V8" i="10"/>
  <c r="W54" i="8"/>
  <c r="Q11" i="9"/>
  <c r="P9" i="9"/>
  <c r="V51" i="8"/>
  <c r="W51" i="8"/>
  <c r="Q7" i="9" l="1"/>
  <c r="P8" i="9"/>
  <c r="R11" i="9"/>
  <c r="Q9" i="9"/>
  <c r="P10" i="9"/>
  <c r="P57" i="8" l="1"/>
  <c r="P10" i="10" s="1"/>
  <c r="P11" i="10" s="1"/>
  <c r="P17" i="10" s="1"/>
  <c r="P32" i="10" s="1"/>
  <c r="R7" i="9"/>
  <c r="Q8" i="9"/>
  <c r="S11" i="9"/>
  <c r="S9" i="9" s="1"/>
  <c r="R9" i="9"/>
  <c r="Q10" i="9"/>
  <c r="Q57" i="8" s="1"/>
  <c r="P61" i="10" l="1"/>
  <c r="P39" i="10"/>
  <c r="P62" i="10" s="1"/>
  <c r="P26" i="10"/>
  <c r="P30" i="10"/>
  <c r="P23" i="10"/>
  <c r="P20" i="10"/>
  <c r="P35" i="10" s="1"/>
  <c r="P18" i="10"/>
  <c r="Q59" i="8"/>
  <c r="Q72" i="8" s="1"/>
  <c r="Q78" i="8" s="1"/>
  <c r="Q10" i="10"/>
  <c r="Q11" i="10" s="1"/>
  <c r="Q17" i="10" s="1"/>
  <c r="Q32" i="10" s="1"/>
  <c r="Q61" i="10" s="1"/>
  <c r="R8" i="9"/>
  <c r="S7" i="9"/>
  <c r="S10" i="9" s="1"/>
  <c r="S57" i="8" s="1"/>
  <c r="R10" i="9"/>
  <c r="R57" i="8" s="1"/>
  <c r="P59" i="8"/>
  <c r="P72" i="8" s="1"/>
  <c r="P78" i="8" s="1"/>
  <c r="P48" i="10" l="1"/>
  <c r="P36" i="10"/>
  <c r="P37" i="10"/>
  <c r="R59" i="8"/>
  <c r="R72" i="8" s="1"/>
  <c r="R78" i="8" s="1"/>
  <c r="R10" i="10"/>
  <c r="R11" i="10" s="1"/>
  <c r="R17" i="10" s="1"/>
  <c r="R32" i="10" s="1"/>
  <c r="R61" i="10" s="1"/>
  <c r="Q23" i="10"/>
  <c r="Q26" i="10"/>
  <c r="Q20" i="10"/>
  <c r="Q30" i="10"/>
  <c r="Q18" i="10"/>
  <c r="Q39" i="10"/>
  <c r="Q62" i="10" s="1"/>
  <c r="S59" i="8"/>
  <c r="S72" i="8" s="1"/>
  <c r="S78" i="8" s="1"/>
  <c r="S10" i="10"/>
  <c r="S11" i="10" s="1"/>
  <c r="S17" i="10" s="1"/>
  <c r="S32" i="10" s="1"/>
  <c r="S61" i="10" s="1"/>
  <c r="T57" i="8"/>
  <c r="T10" i="9"/>
  <c r="S8" i="9"/>
  <c r="T8" i="9" s="1"/>
  <c r="T9" i="9" s="1"/>
  <c r="T32" i="10" l="1"/>
  <c r="Q35" i="10"/>
  <c r="Q48" i="10" s="1"/>
  <c r="T59" i="8"/>
  <c r="T10" i="10"/>
  <c r="T11" i="10" s="1"/>
  <c r="T17" i="10" s="1"/>
  <c r="R20" i="10"/>
  <c r="R18" i="10"/>
  <c r="R23" i="10"/>
  <c r="R26" i="10"/>
  <c r="R39" i="10"/>
  <c r="R62" i="10" s="1"/>
  <c r="R30" i="10"/>
  <c r="S18" i="10"/>
  <c r="S30" i="10"/>
  <c r="S20" i="10"/>
  <c r="S23" i="10"/>
  <c r="S26" i="10"/>
  <c r="S39" i="10"/>
  <c r="P52" i="10"/>
  <c r="P50" i="10"/>
  <c r="P49" i="10"/>
  <c r="T13" i="9"/>
  <c r="U13" i="9" s="1"/>
  <c r="V13" i="9" s="1"/>
  <c r="W13" i="9" s="1"/>
  <c r="U7" i="9"/>
  <c r="T11" i="9"/>
  <c r="U11" i="9" s="1"/>
  <c r="T72" i="8"/>
  <c r="T60" i="8"/>
  <c r="T33" i="10" l="1"/>
  <c r="U33" i="10" s="1"/>
  <c r="V33" i="10" s="1"/>
  <c r="W33" i="10" s="1"/>
  <c r="Q36" i="10"/>
  <c r="Q37" i="10"/>
  <c r="T26" i="10"/>
  <c r="T27" i="10" s="1"/>
  <c r="U27" i="10" s="1"/>
  <c r="V27" i="10" s="1"/>
  <c r="W27" i="10" s="1"/>
  <c r="R35" i="10"/>
  <c r="R37" i="10" s="1"/>
  <c r="T23" i="10"/>
  <c r="T24" i="10" s="1"/>
  <c r="U24" i="10" s="1"/>
  <c r="V24" i="10" s="1"/>
  <c r="W24" i="10" s="1"/>
  <c r="S35" i="10"/>
  <c r="S48" i="10" s="1"/>
  <c r="T39" i="10"/>
  <c r="S62" i="10"/>
  <c r="Q52" i="10"/>
  <c r="Q64" i="10" s="1"/>
  <c r="Q49" i="10"/>
  <c r="Q50" i="10"/>
  <c r="P64" i="10"/>
  <c r="P55" i="10"/>
  <c r="P103" i="10" s="1"/>
  <c r="T20" i="10"/>
  <c r="T21" i="10" s="1"/>
  <c r="U21" i="10" s="1"/>
  <c r="V21" i="10" s="1"/>
  <c r="W21" i="10" s="1"/>
  <c r="T30" i="10"/>
  <c r="T18" i="10"/>
  <c r="T73" i="8"/>
  <c r="T78" i="8"/>
  <c r="T79" i="8" s="1"/>
  <c r="U9" i="9"/>
  <c r="V11" i="9"/>
  <c r="R48" i="10" l="1"/>
  <c r="R36" i="10"/>
  <c r="U23" i="10"/>
  <c r="V23" i="10" s="1"/>
  <c r="W23" i="10" s="1"/>
  <c r="S36" i="10"/>
  <c r="S37" i="10"/>
  <c r="Q55" i="10"/>
  <c r="Q103" i="10" s="1"/>
  <c r="T35" i="10"/>
  <c r="T37" i="10" s="1"/>
  <c r="P59" i="10"/>
  <c r="P69" i="10" s="1"/>
  <c r="P56" i="10"/>
  <c r="S50" i="10"/>
  <c r="S52" i="10"/>
  <c r="S64" i="10" s="1"/>
  <c r="S49" i="10"/>
  <c r="T40" i="10"/>
  <c r="U40" i="10" s="1"/>
  <c r="V40" i="10" s="1"/>
  <c r="W40" i="10" s="1"/>
  <c r="R52" i="10"/>
  <c r="R55" i="10" s="1"/>
  <c r="R103" i="10" s="1"/>
  <c r="R50" i="10"/>
  <c r="R49" i="10"/>
  <c r="V9" i="9"/>
  <c r="W11" i="9"/>
  <c r="W9" i="9" s="1"/>
  <c r="U10" i="9"/>
  <c r="U57" i="8" s="1"/>
  <c r="U8" i="9"/>
  <c r="V7" i="9"/>
  <c r="Q59" i="10" l="1"/>
  <c r="Q56" i="10"/>
  <c r="S55" i="10"/>
  <c r="S103" i="10" s="1"/>
  <c r="T48" i="10"/>
  <c r="T49" i="10" s="1"/>
  <c r="T36" i="10"/>
  <c r="U59" i="8"/>
  <c r="U10" i="10"/>
  <c r="U11" i="10" s="1"/>
  <c r="U17" i="10" s="1"/>
  <c r="U32" i="10" s="1"/>
  <c r="U61" i="10" s="1"/>
  <c r="R56" i="10"/>
  <c r="R59" i="10"/>
  <c r="R64" i="10"/>
  <c r="T52" i="10"/>
  <c r="S56" i="10"/>
  <c r="S59" i="10"/>
  <c r="P92" i="10"/>
  <c r="P70" i="10"/>
  <c r="P71" i="10"/>
  <c r="V10" i="9"/>
  <c r="V57" i="8" s="1"/>
  <c r="U72" i="8"/>
  <c r="U60" i="8"/>
  <c r="V8" i="9"/>
  <c r="W7" i="9"/>
  <c r="W10" i="9" s="1"/>
  <c r="W57" i="8" s="1"/>
  <c r="T50" i="10" l="1"/>
  <c r="P93" i="10"/>
  <c r="P104" i="10"/>
  <c r="T53" i="10"/>
  <c r="V59" i="8"/>
  <c r="V72" i="8" s="1"/>
  <c r="V78" i="8" s="1"/>
  <c r="V10" i="10"/>
  <c r="V11" i="10" s="1"/>
  <c r="V17" i="10" s="1"/>
  <c r="V32" i="10" s="1"/>
  <c r="V61" i="10" s="1"/>
  <c r="U39" i="10"/>
  <c r="U62" i="10" s="1"/>
  <c r="U18" i="10"/>
  <c r="U30" i="10"/>
  <c r="U26" i="10"/>
  <c r="W59" i="8"/>
  <c r="W60" i="8" s="1"/>
  <c r="W10" i="10"/>
  <c r="W11" i="10" s="1"/>
  <c r="W17" i="10" s="1"/>
  <c r="W32" i="10" s="1"/>
  <c r="W61" i="10" s="1"/>
  <c r="T55" i="10"/>
  <c r="U73" i="8"/>
  <c r="U78" i="8"/>
  <c r="U79" i="8" s="1"/>
  <c r="V60" i="8"/>
  <c r="W8" i="9"/>
  <c r="V73" i="8"/>
  <c r="W72" i="8" l="1"/>
  <c r="T103" i="10"/>
  <c r="T56" i="10"/>
  <c r="T59" i="10"/>
  <c r="T69" i="10" s="1"/>
  <c r="W18" i="10"/>
  <c r="W30" i="10"/>
  <c r="W26" i="10"/>
  <c r="W20" i="10"/>
  <c r="W35" i="10" s="1"/>
  <c r="W39" i="10"/>
  <c r="W62" i="10" s="1"/>
  <c r="V20" i="10"/>
  <c r="V18" i="10"/>
  <c r="V26" i="10"/>
  <c r="V39" i="10"/>
  <c r="V62" i="10" s="1"/>
  <c r="V30" i="10"/>
  <c r="V79" i="8"/>
  <c r="W73" i="8"/>
  <c r="W78" i="8"/>
  <c r="W79" i="8" s="1"/>
  <c r="V35" i="10" l="1"/>
  <c r="W36" i="10" s="1"/>
  <c r="T71" i="10"/>
  <c r="T70" i="10"/>
  <c r="W48" i="10"/>
  <c r="W37" i="10"/>
  <c r="V37" i="10" l="1"/>
  <c r="V48" i="10"/>
  <c r="V50" i="10" s="1"/>
  <c r="W50" i="10"/>
  <c r="W52" i="10"/>
  <c r="W64" i="10" s="1"/>
  <c r="W49" i="10" l="1"/>
  <c r="V52" i="10"/>
  <c r="V64" i="10" s="1"/>
  <c r="W55" i="10"/>
  <c r="V55" i="10" l="1"/>
  <c r="W56" i="10" s="1"/>
  <c r="W103" i="10"/>
  <c r="W59" i="10"/>
  <c r="W69" i="10" s="1"/>
  <c r="V59" i="10" l="1"/>
  <c r="V69" i="10" s="1"/>
  <c r="V92" i="10" s="1"/>
  <c r="V104" i="10" s="1"/>
  <c r="V108" i="10" s="1"/>
  <c r="V103" i="10"/>
  <c r="W92" i="10"/>
  <c r="W71" i="10"/>
  <c r="W70" i="10"/>
  <c r="V71" i="10" l="1"/>
  <c r="W104" i="10"/>
  <c r="W108" i="10" s="1"/>
  <c r="W93" i="10"/>
  <c r="U20" i="10" l="1"/>
  <c r="U35" i="10" s="1"/>
  <c r="U48" i="10" s="1"/>
  <c r="U49" i="10" l="1"/>
  <c r="U50" i="10"/>
  <c r="U52" i="10"/>
  <c r="V49" i="10"/>
  <c r="U36" i="10"/>
  <c r="U37" i="10"/>
  <c r="V36" i="10"/>
  <c r="U55" i="10" l="1"/>
  <c r="U64" i="10"/>
  <c r="V56" i="10"/>
  <c r="U59" i="10" l="1"/>
  <c r="U69" i="10" s="1"/>
  <c r="U92" i="10" s="1"/>
  <c r="U103" i="10"/>
  <c r="U56" i="10"/>
  <c r="U104" i="10" l="1"/>
  <c r="U108" i="10" s="1"/>
  <c r="V93" i="10"/>
  <c r="U70" i="10"/>
  <c r="U71" i="10"/>
  <c r="V70" i="10"/>
  <c r="S69" i="10"/>
  <c r="R69" i="10"/>
  <c r="Q69" i="10"/>
  <c r="S71" i="10" l="1"/>
  <c r="S92" i="10"/>
  <c r="R71" i="10"/>
  <c r="R92" i="10"/>
  <c r="Q70" i="10"/>
  <c r="Q92" i="10"/>
  <c r="Q104" i="10" s="1"/>
  <c r="Q71" i="10"/>
  <c r="R70" i="10"/>
  <c r="S70" i="10"/>
  <c r="R93" i="10" l="1"/>
  <c r="R104" i="10"/>
  <c r="S93" i="10"/>
  <c r="S104" i="10"/>
  <c r="Q93" i="10"/>
  <c r="T92" i="10"/>
  <c r="T104" i="10" l="1"/>
  <c r="T108" i="10" s="1"/>
  <c r="T93" i="10"/>
  <c r="U9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Hastings, Benjamin</author>
  </authors>
  <commentList>
    <comment ref="B9" authorId="0" shapeId="0" xr:uid="{CE5FB262-8AAA-408A-A64D-AE2717CEF3DE}">
      <text>
        <r>
          <rPr>
            <b/>
            <sz val="9"/>
            <color indexed="81"/>
            <rFont val="Tahoma"/>
            <family val="2"/>
          </rPr>
          <t>Hastings, Benjamin:</t>
        </r>
        <r>
          <rPr>
            <sz val="9"/>
            <color indexed="81"/>
            <rFont val="Tahoma"/>
            <family val="2"/>
          </rPr>
          <t xml:space="preserve">
Operating</t>
        </r>
      </text>
    </comment>
    <comment ref="B10" authorId="0" shapeId="0" xr:uid="{9FF7376A-A127-47F7-B50F-C309653E2CC8}">
      <text>
        <r>
          <rPr>
            <b/>
            <sz val="9"/>
            <color indexed="81"/>
            <rFont val="Tahoma"/>
            <family val="2"/>
          </rPr>
          <t>Hastings, Benjamin:</t>
        </r>
        <r>
          <rPr>
            <sz val="9"/>
            <color indexed="81"/>
            <rFont val="Tahoma"/>
            <family val="2"/>
          </rPr>
          <t xml:space="preserve">
Operating</t>
        </r>
      </text>
    </comment>
    <comment ref="B23" authorId="0" shapeId="0" xr:uid="{6F1EAEFD-8171-4AB7-9E82-4BA5E776CF3C}">
      <text>
        <r>
          <rPr>
            <b/>
            <sz val="9"/>
            <color indexed="81"/>
            <rFont val="Tahoma"/>
            <family val="2"/>
          </rPr>
          <t>Hastings, Benjamin:</t>
        </r>
        <r>
          <rPr>
            <sz val="9"/>
            <color indexed="81"/>
            <rFont val="Tahoma"/>
            <family val="2"/>
          </rPr>
          <t xml:space="preserve">
Management says that cost benefits are taking longer then expected to realize (from the autofleet and CarIQ acquisitions) but should start to see them end of FY'26 -- I still just assumed close to historic margins though as its hard to be sure.</t>
        </r>
      </text>
    </comment>
    <comment ref="I55" authorId="0" shapeId="0" xr:uid="{EBB5BF57-7D1E-4E33-9B06-9982F7904816}">
      <text>
        <r>
          <rPr>
            <b/>
            <sz val="9"/>
            <color indexed="81"/>
            <rFont val="Tahoma"/>
            <family val="2"/>
          </rPr>
          <t>Hastings, Benjamin:</t>
        </r>
        <r>
          <rPr>
            <sz val="9"/>
            <color indexed="81"/>
            <rFont val="Tahoma"/>
            <family val="2"/>
          </rPr>
          <t xml:space="preserve">
Had a big right down (130M DTA) and 52M legacy platform write off as they transition to the autofleet -- (M costs with CarIQ acquisiton</t>
        </r>
      </text>
    </comment>
    <comment ref="O106" authorId="0" shapeId="0" xr:uid="{BD77D253-50E5-486E-86A7-0A19AE289D5D}">
      <text>
        <r>
          <rPr>
            <b/>
            <sz val="9"/>
            <color indexed="81"/>
            <rFont val="Tahoma"/>
            <family val="2"/>
          </rPr>
          <t>Hastings, Benjamin:</t>
        </r>
        <r>
          <rPr>
            <sz val="9"/>
            <color indexed="81"/>
            <rFont val="Tahoma"/>
            <family val="2"/>
          </rPr>
          <t xml:space="preserve">
RBC Multiple</t>
        </r>
      </text>
    </comment>
    <comment ref="B113" authorId="0" shapeId="0" xr:uid="{2C1044D8-7297-456F-8FA3-3A9155F03E53}">
      <text>
        <r>
          <rPr>
            <b/>
            <sz val="9"/>
            <color indexed="81"/>
            <rFont val="Tahoma"/>
            <family val="2"/>
          </rPr>
          <t>Hastings, Benjamin:</t>
        </r>
        <r>
          <rPr>
            <sz val="9"/>
            <color indexed="81"/>
            <rFont val="Tahoma"/>
            <family val="2"/>
          </rPr>
          <t xml:space="preserve">
1-2% Management target -- assumed 2%/year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Hastings, Benjamin</author>
  </authors>
  <commentList>
    <comment ref="J10" authorId="0" shapeId="0" xr:uid="{946BF6C8-98FB-4B18-8D14-3A7E20A66317}">
      <text>
        <r>
          <rPr>
            <b/>
            <sz val="9"/>
            <color indexed="81"/>
            <rFont val="Tahoma"/>
            <family val="2"/>
          </rPr>
          <t>Hastings, Benjamin:</t>
        </r>
        <r>
          <rPr>
            <sz val="9"/>
            <color indexed="81"/>
            <rFont val="Tahoma"/>
            <family val="2"/>
          </rPr>
          <t xml:space="preserve">
Drievn by recent M&amp;A in AutoFleet and CarIQ -- and movement to digitalize their service/platform -- reduces costs and makes SME fleets economically feasible to target now -- driven a huge increase in EFNs Servicable Addresable Market (SAM) -- Management cited 60% cost reductions in CAC</t>
        </r>
      </text>
    </comment>
    <comment ref="B13" authorId="0" shapeId="0" xr:uid="{FD0F829D-85E4-4681-8647-A75FB2B4647C}">
      <text>
        <r>
          <rPr>
            <b/>
            <sz val="9"/>
            <color indexed="81"/>
            <rFont val="Tahoma"/>
            <family val="2"/>
          </rPr>
          <t>Hastings, Benjamin:</t>
        </r>
        <r>
          <rPr>
            <sz val="9"/>
            <color indexed="81"/>
            <rFont val="Tahoma"/>
            <family val="2"/>
          </rPr>
          <t xml:space="preserve">
Fleets of 200+ vehicles</t>
        </r>
      </text>
    </comment>
    <comment ref="B16" authorId="0" shapeId="0" xr:uid="{4A54121E-F607-482A-AECF-422D8145CFEB}">
      <text>
        <r>
          <rPr>
            <b/>
            <sz val="9"/>
            <color indexed="81"/>
            <rFont val="Tahoma"/>
            <family val="2"/>
          </rPr>
          <t>Hastings, Benjamin:</t>
        </r>
        <r>
          <rPr>
            <sz val="9"/>
            <color indexed="81"/>
            <rFont val="Tahoma"/>
            <family val="2"/>
          </rPr>
          <t xml:space="preserve">
Fleets of 5-200 vehicles</t>
        </r>
      </text>
    </comment>
    <comment ref="K19" authorId="0" shapeId="0" xr:uid="{0327672A-5871-4520-A51F-F4AB798DD152}">
      <text>
        <r>
          <rPr>
            <b/>
            <sz val="9"/>
            <color indexed="81"/>
            <rFont val="Tahoma"/>
            <family val="2"/>
          </rPr>
          <t>Hastings, Benjamin:</t>
        </r>
        <r>
          <rPr>
            <sz val="9"/>
            <color indexed="81"/>
            <rFont val="Tahoma"/>
            <family val="2"/>
          </rPr>
          <t xml:space="preserve">
Company Website</t>
        </r>
      </text>
    </comment>
    <comment ref="E20" authorId="0" shapeId="0" xr:uid="{0F72C465-6973-439C-B587-4151B8C308B3}">
      <text>
        <r>
          <rPr>
            <b/>
            <sz val="9"/>
            <color indexed="81"/>
            <rFont val="Tahoma"/>
            <family val="2"/>
          </rPr>
          <t>Hastings, Benjamin:</t>
        </r>
        <r>
          <rPr>
            <sz val="9"/>
            <color indexed="81"/>
            <rFont val="Tahoma"/>
            <family val="2"/>
          </rPr>
          <t xml:space="preserve">
Parted ways with large client lost around 275k VUM</t>
        </r>
      </text>
    </comment>
    <comment ref="B24" authorId="0" shapeId="0" xr:uid="{85D3E54D-F534-4C22-B144-CEFE875A7026}">
      <text>
        <r>
          <rPr>
            <b/>
            <sz val="9"/>
            <color indexed="81"/>
            <rFont val="Tahoma"/>
            <family val="2"/>
          </rPr>
          <t>Hastings, Benjamin:</t>
        </r>
        <r>
          <rPr>
            <sz val="9"/>
            <color indexed="81"/>
            <rFont val="Tahoma"/>
            <family val="2"/>
          </rPr>
          <t xml:space="preserve">
this is straight Dollars i.e. $400 -- it is not in millions -- proper would be 400/1000000</t>
        </r>
      </text>
    </comment>
    <comment ref="P25" authorId="0" shapeId="0" xr:uid="{FEDE8DCF-5FAF-4621-B24F-DE6268E80BD0}">
      <text>
        <r>
          <rPr>
            <b/>
            <sz val="9"/>
            <color indexed="81"/>
            <rFont val="Tahoma"/>
            <family val="2"/>
          </rPr>
          <t>Hastings, Benjamin:</t>
        </r>
        <r>
          <rPr>
            <sz val="9"/>
            <color indexed="81"/>
            <rFont val="Tahoma"/>
            <family val="2"/>
          </rPr>
          <t xml:space="preserve">
As EFN continues to indentify and provide customers with greater cost reductions -- it increases their value prop and should drive higher rev/VUM -- additionaly mnagement believes that each vehicle is an opportunity to drive serv rev/vum</t>
        </r>
      </text>
    </comment>
    <comment ref="Q25" authorId="0" shapeId="0" xr:uid="{CEF9DB06-A27D-498C-B9CF-BDD18483C322}">
      <text>
        <r>
          <rPr>
            <b/>
            <sz val="9"/>
            <color indexed="81"/>
            <rFont val="Tahoma"/>
            <family val="2"/>
          </rPr>
          <t>Hastings, Benjamin:</t>
        </r>
        <r>
          <rPr>
            <sz val="9"/>
            <color indexed="81"/>
            <rFont val="Tahoma"/>
            <family val="2"/>
          </rPr>
          <t xml:space="preserve">
See q1'27 note</t>
        </r>
      </text>
    </comment>
    <comment ref="R25" authorId="0" shapeId="0" xr:uid="{2AE177B2-FAFD-49F9-A022-E36338B95DCC}">
      <text>
        <r>
          <rPr>
            <b/>
            <sz val="9"/>
            <color indexed="81"/>
            <rFont val="Tahoma"/>
            <family val="2"/>
          </rPr>
          <t>Hastings, Benjamin:</t>
        </r>
        <r>
          <rPr>
            <sz val="9"/>
            <color indexed="81"/>
            <rFont val="Tahoma"/>
            <family val="2"/>
          </rPr>
          <t xml:space="preserve">
prior</t>
        </r>
      </text>
    </comment>
    <comment ref="S25" authorId="0" shapeId="0" xr:uid="{9B9F53AF-5600-4E3C-8549-8165A4B3031A}">
      <text>
        <r>
          <rPr>
            <b/>
            <sz val="9"/>
            <color indexed="81"/>
            <rFont val="Tahoma"/>
            <family val="2"/>
          </rPr>
          <t>Hastings, Benjamin:</t>
        </r>
        <r>
          <rPr>
            <sz val="9"/>
            <color indexed="81"/>
            <rFont val="Tahoma"/>
            <family val="2"/>
          </rPr>
          <t xml:space="preserve">
prior</t>
        </r>
      </text>
    </comment>
    <comment ref="Y25" authorId="0" shapeId="0" xr:uid="{DD30142D-87A1-4312-B3A1-3858EFA29423}">
      <text>
        <r>
          <rPr>
            <b/>
            <sz val="9"/>
            <color indexed="81"/>
            <rFont val="Tahoma"/>
            <family val="2"/>
          </rPr>
          <t>Hastings, Benjamin:</t>
        </r>
        <r>
          <rPr>
            <sz val="9"/>
            <color indexed="81"/>
            <rFont val="Tahoma"/>
            <family val="2"/>
          </rPr>
          <t xml:space="preserve">
stabalize to gdp+ makes sense giving the value prop should only get stronger</t>
        </r>
      </text>
    </comment>
    <comment ref="Y56" authorId="0" shapeId="0" xr:uid="{A459B8F3-D9DE-4120-8522-6BB34C99C850}">
      <text>
        <r>
          <rPr>
            <b/>
            <sz val="9"/>
            <color indexed="81"/>
            <rFont val="Tahoma"/>
            <family val="2"/>
          </rPr>
          <t>Hastings, Benjamin:</t>
        </r>
        <r>
          <rPr>
            <sz val="9"/>
            <color indexed="81"/>
            <rFont val="Tahoma"/>
            <family val="2"/>
          </rPr>
          <t xml:space="preserve">
Tegus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Tegus (AHA)</author>
  </authors>
  <commentList>
    <comment ref="B9" authorId="0" shapeId="0" xr:uid="{C24CA592-90C4-4467-A8F4-B59063CB36DA}">
      <text>
        <r>
          <rPr>
            <b/>
            <sz val="9"/>
            <rFont val="Tahoma"/>
            <family val="2"/>
            <charset val="1"/>
          </rPr>
          <t>Tegus (AHA):</t>
        </r>
        <r>
          <rPr>
            <sz val="9"/>
            <rFont val="Tahoma"/>
            <family val="2"/>
            <charset val="1"/>
          </rPr>
          <t xml:space="preserve">
Net of Continuing involvement liability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Hastings, Benjamin</author>
  </authors>
  <commentList>
    <comment ref="F9" authorId="0" shapeId="0" xr:uid="{B0314B31-6843-491C-A486-0BEE306578BC}">
      <text>
        <r>
          <rPr>
            <b/>
            <sz val="9"/>
            <color indexed="81"/>
            <rFont val="Tahoma"/>
            <family val="2"/>
          </rPr>
          <t>Hastings, Benjamin:</t>
        </r>
        <r>
          <rPr>
            <sz val="9"/>
            <color indexed="81"/>
            <rFont val="Tahoma"/>
            <family val="2"/>
          </rPr>
          <t xml:space="preserve">
Drievn by recent M&amp;A in AutoFleet and CarIQ -- and movement to digitalize their service/platform -- reduces costs and makes SME fleets economically feasible to target now -- driven a huge increase in EFNs Servicable Addresable Market (SAM) -- Management cited 60% cost reductions in CAC</t>
        </r>
      </text>
    </comment>
    <comment ref="G18" authorId="0" shapeId="0" xr:uid="{3821CE97-92E6-488D-BE2B-1E494425A3C2}">
      <text>
        <r>
          <rPr>
            <b/>
            <sz val="9"/>
            <color indexed="81"/>
            <rFont val="Tahoma"/>
            <family val="2"/>
          </rPr>
          <t>Hastings, Benjamin:</t>
        </r>
        <r>
          <rPr>
            <sz val="9"/>
            <color indexed="81"/>
            <rFont val="Tahoma"/>
            <family val="2"/>
          </rPr>
          <t xml:space="preserve">
Company Website</t>
        </r>
      </text>
    </comment>
    <comment ref="E19" authorId="0" shapeId="0" xr:uid="{9219D53A-B060-4B71-B2F4-B34A30B2B953}">
      <text>
        <r>
          <rPr>
            <b/>
            <sz val="9"/>
            <color indexed="81"/>
            <rFont val="Tahoma"/>
            <family val="2"/>
          </rPr>
          <t>Hastings, Benjamin:</t>
        </r>
        <r>
          <rPr>
            <sz val="9"/>
            <color indexed="81"/>
            <rFont val="Tahoma"/>
            <family val="2"/>
          </rPr>
          <t xml:space="preserve">
Parted ways with large client lost around 275k VUM</t>
        </r>
      </text>
    </comment>
  </commentList>
</comments>
</file>

<file path=xl/sharedStrings.xml><?xml version="1.0" encoding="utf-8"?>
<sst xmlns="http://schemas.openxmlformats.org/spreadsheetml/2006/main" count="344" uniqueCount="130">
  <si>
    <t>EFN Thesis Build</t>
  </si>
  <si>
    <t>x</t>
  </si>
  <si>
    <t>Units</t>
  </si>
  <si>
    <t>Service and other Revenue</t>
  </si>
  <si>
    <t>Q1'26A</t>
  </si>
  <si>
    <t>Q2'26E</t>
  </si>
  <si>
    <t>Q3'26E</t>
  </si>
  <si>
    <t>Q4'26E</t>
  </si>
  <si>
    <t>#</t>
  </si>
  <si>
    <t>% y/y change</t>
  </si>
  <si>
    <t>EFN Total Fleet TAM</t>
  </si>
  <si>
    <t>Large Fleet TAM</t>
  </si>
  <si>
    <t># of vehicles</t>
  </si>
  <si>
    <t>SME Fleet TAM</t>
  </si>
  <si>
    <t>EFN Total Fleet SAM</t>
  </si>
  <si>
    <t>Total Vehicles Under Management (VUM)</t>
  </si>
  <si>
    <t>% of Total SAM</t>
  </si>
  <si>
    <t>% of Total VUM</t>
  </si>
  <si>
    <t>Large Fleet VUM</t>
  </si>
  <si>
    <t>SME Fleet VUM</t>
  </si>
  <si>
    <t>% Active Large Capture</t>
  </si>
  <si>
    <t>% Active SME Capture</t>
  </si>
  <si>
    <t>% Active SAM Capture Rate</t>
  </si>
  <si>
    <t>Company annual report</t>
  </si>
  <si>
    <t>Average Service Rev per VUM</t>
  </si>
  <si>
    <t>Financing Revenue</t>
  </si>
  <si>
    <t>Net Earning Assets - BOP</t>
  </si>
  <si>
    <t>Activations - NEA Change</t>
  </si>
  <si>
    <t>% of originations</t>
  </si>
  <si>
    <t>Syndication - NEA Change</t>
  </si>
  <si>
    <t>% of NEA BOP</t>
  </si>
  <si>
    <t>Rounding (Calculated)</t>
  </si>
  <si>
    <t>Net Earning Assets - EOP</t>
  </si>
  <si>
    <t>Avg. Net Earning Assets</t>
  </si>
  <si>
    <t>Originations</t>
  </si>
  <si>
    <t>Interest Income Yield</t>
  </si>
  <si>
    <t>Rental Revenue Yield</t>
  </si>
  <si>
    <t>Q1'25A</t>
  </si>
  <si>
    <t>Q3'25A</t>
  </si>
  <si>
    <t>Q2'25A</t>
  </si>
  <si>
    <t>Q4'25A</t>
  </si>
  <si>
    <t>Continued growth in utilization rate as servuces become more important</t>
  </si>
  <si>
    <t>Driven by conversion of SMEs and continued pentration into large fleets</t>
  </si>
  <si>
    <t>Disposition - NEA Change</t>
  </si>
  <si>
    <t>Ammoritization - NEA Change</t>
  </si>
  <si>
    <t>FX - NEA Change</t>
  </si>
  <si>
    <t>Interest Income</t>
  </si>
  <si>
    <t>Rental Revenue</t>
  </si>
  <si>
    <t>Depreciation of equipment under operating leases</t>
  </si>
  <si>
    <t>Interest Expense</t>
  </si>
  <si>
    <t>Q1'27E</t>
  </si>
  <si>
    <t>Q2'27E</t>
  </si>
  <si>
    <t>Q3'27E</t>
  </si>
  <si>
    <t>Q4'27E</t>
  </si>
  <si>
    <t>GRAB HISTORICAL ORIGINATIONS TO SHOW GROWTH</t>
  </si>
  <si>
    <t>EFN Debt Build</t>
  </si>
  <si>
    <t>Debt Build</t>
  </si>
  <si>
    <t>Total debt - BOP, mm</t>
  </si>
  <si>
    <t>Change in debt, mm</t>
  </si>
  <si>
    <t>Total debt - EOP, mm</t>
  </si>
  <si>
    <t>Avg. debt outstanding, mm</t>
  </si>
  <si>
    <t>Effective Interest Expense Rate, %</t>
  </si>
  <si>
    <t>% Earning Assets</t>
  </si>
  <si>
    <t>Syndication Revenue</t>
  </si>
  <si>
    <t>Net Revenue</t>
  </si>
  <si>
    <t>Operating Model</t>
  </si>
  <si>
    <t>Net Financing Revenue</t>
  </si>
  <si>
    <t>Service Revenue</t>
  </si>
  <si>
    <t>Service and Other Revenue, net</t>
  </si>
  <si>
    <t>EFN Operating Model</t>
  </si>
  <si>
    <t>Salaries, wages and benefits</t>
  </si>
  <si>
    <t>General and administration expenses</t>
  </si>
  <si>
    <t>Depreciation and amortization</t>
  </si>
  <si>
    <t>Amortization of convertible debenture synthetic discount</t>
  </si>
  <si>
    <t>Share-based compensation</t>
  </si>
  <si>
    <t>% revenue</t>
  </si>
  <si>
    <t>%</t>
  </si>
  <si>
    <t>Large Fleet TAM, # of vehicles</t>
  </si>
  <si>
    <t>SME Fleet TAM, # of vehicles</t>
  </si>
  <si>
    <t>Step</t>
  </si>
  <si>
    <t>$</t>
  </si>
  <si>
    <t>% EBIT margin</t>
  </si>
  <si>
    <t>Amortization of intangibles assets from acquisitions</t>
  </si>
  <si>
    <t>Gain on investments</t>
  </si>
  <si>
    <t>Share loss from provision in equity accounted investments</t>
  </si>
  <si>
    <t>Income Before Taxes (EBT)</t>
  </si>
  <si>
    <t>Income Tax Expense</t>
  </si>
  <si>
    <t>% tax rate</t>
  </si>
  <si>
    <t>Net Income</t>
  </si>
  <si>
    <t>Adjusted Operating Income</t>
  </si>
  <si>
    <t>Amortization of debenture synthetic discount</t>
  </si>
  <si>
    <t>Share-based Compensation</t>
  </si>
  <si>
    <t>Amortization of intangibles from acquisitions</t>
  </si>
  <si>
    <t>Strategic initiatives costs - Salaries, wages and benefits</t>
  </si>
  <si>
    <t>Strategic initiatives costs - General and administrative expenses</t>
  </si>
  <si>
    <t>Strategic initiatives costs - Depreciation and Amortization</t>
  </si>
  <si>
    <t>Share loss from JV</t>
  </si>
  <si>
    <t>Operating Income</t>
  </si>
  <si>
    <t>Cash Flow Items</t>
  </si>
  <si>
    <t>Current Operating Assets</t>
  </si>
  <si>
    <t>Current Operating Liabilities</t>
  </si>
  <si>
    <t>% margin</t>
  </si>
  <si>
    <t>Accounts receivable and other current assets</t>
  </si>
  <si>
    <t>Total Current Assets</t>
  </si>
  <si>
    <t>Accounts payable and accrued liabilities</t>
  </si>
  <si>
    <t>Total Current Liabilities</t>
  </si>
  <si>
    <t>Net Working Capital</t>
  </si>
  <si>
    <t>Change in Net working Capital</t>
  </si>
  <si>
    <t>% sales</t>
  </si>
  <si>
    <t>Shares Outstanding - WAB</t>
  </si>
  <si>
    <t>Shares Outstanding - WAD</t>
  </si>
  <si>
    <t>Adjusted Shares Outstanding - WAD</t>
  </si>
  <si>
    <t>Adjusted Net Income</t>
  </si>
  <si>
    <t>Earnings Per Share</t>
  </si>
  <si>
    <t>Adjusted Earnings Per Share</t>
  </si>
  <si>
    <t xml:space="preserve">P/E </t>
  </si>
  <si>
    <t>Implied Share Price</t>
  </si>
  <si>
    <t>Current Share Price</t>
  </si>
  <si>
    <t>USD/CAD Exchange Rate</t>
  </si>
  <si>
    <t>Capital Expenditures</t>
  </si>
  <si>
    <t>Need to build out FCF/Share</t>
  </si>
  <si>
    <t>Share buybacks</t>
  </si>
  <si>
    <t>Share Buybacks</t>
  </si>
  <si>
    <t>Need to fix this</t>
  </si>
  <si>
    <t>Do a full Share capital build</t>
  </si>
  <si>
    <t>fix</t>
  </si>
  <si>
    <t>management targets 2-4% VUM growth</t>
  </si>
  <si>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</si>
  <si>
    <t>Note on why Stock is trading down below</t>
  </si>
  <si>
    <t>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</si>
</sst>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0&quot;A&quot;"/>
    <numFmt numFmtId="165" formatCode="0&quot;E&quot;"/>
    <numFmt numFmtId="166" formatCode="_(* #,##0_);_(* \(#,##0\);_(* &quot;-&quot;??_);_(@_)"/>
    <numFmt numFmtId="167" formatCode="_(* #,##0.00_);_(* \(#,##0.00\);_(* &quot;-&quot;??_);_(@_)"/>
    <numFmt numFmtId="168" formatCode="_(* 0.0%_);_(* \-0.0%_);_(* &quot;-&quot;??_);_(@_)"/>
    <numFmt numFmtId="169" formatCode="_(* #,##0.0_);_(* \(#,##0.0\);_(* &quot;-&quot;??_);_(@_)"/>
    <numFmt numFmtId="170" formatCode="_(* 0.00%_);_(* \-0.00%_);_(* &quot;-&quot;??_);_(@_)"/>
    <numFmt numFmtId="171" formatCode="[&lt;=9999999]###\-####;###\-###\-####"/>
    <numFmt numFmtId="172" formatCode="0.0%"/>
    <numFmt numFmtId="173" formatCode="0.0\x"/>
  </numFmts>
  <fonts count="37" x14ac:knownFonts="1">
    <font>
      <sz val="11"/>
      <color theme="1"/>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b/>
      <i/>
      <sz val="11"/>
      <color theme="0"/>
      <name val="Aptos Narrow"/>
      <family val="2"/>
      <scheme val="minor"/>
    </font>
    <font>
      <i/>
      <sz val="11"/>
      <color theme="1"/>
      <name val="Aptos Narrow"/>
      <family val="2"/>
      <scheme val="minor"/>
    </font>
    <font>
      <sz val="11"/>
      <color rgb="FF0000FF"/>
      <name val="Aptos Narrow"/>
      <family val="2"/>
      <scheme val="minor"/>
    </font>
    <font>
      <b/>
      <i/>
      <sz val="11"/>
      <color theme="1"/>
      <name val="Aptos Narrow"/>
      <family val="2"/>
      <scheme val="minor"/>
    </font>
    <font>
      <sz val="9"/>
      <color indexed="81"/>
      <name val="Tahoma"/>
      <family val="2"/>
    </font>
    <font>
      <b/>
      <sz val="9"/>
      <color indexed="81"/>
      <name val="Tahoma"/>
      <family val="2"/>
    </font>
    <font>
      <sz val="11"/>
      <color rgb="FF9C0006"/>
      <name val="Aptos Narrow"/>
      <family val="2"/>
      <scheme val="minor"/>
    </font>
    <font>
      <sz val="11"/>
      <color rgb="FF9C5700"/>
      <name val="Aptos Narrow"/>
      <family val="2"/>
      <scheme val="minor"/>
    </font>
    <font>
      <b/>
      <sz val="11"/>
      <color rgb="FF000000"/>
      <name val="Calibri"/>
      <family val="2"/>
    </font>
    <font>
      <b/>
      <sz val="11"/>
      <color rgb="FF0000FC"/>
      <name val="Calibri"/>
      <family val="2"/>
    </font>
    <font>
      <sz val="11"/>
      <color theme="1"/>
      <name val="Calibri"/>
      <family val="2"/>
    </font>
    <font>
      <b/>
      <sz val="14"/>
      <color theme="1"/>
      <name val="Calibri"/>
      <family val="2"/>
    </font>
    <font>
      <b/>
      <sz val="11"/>
      <color theme="0"/>
      <name val="Calibri"/>
      <family val="2"/>
    </font>
    <font>
      <b/>
      <i/>
      <sz val="11"/>
      <color theme="0"/>
      <name val="Calibri"/>
      <family val="2"/>
    </font>
    <font>
      <b/>
      <sz val="11"/>
      <color theme="1"/>
      <name val="Calibri"/>
      <family val="2"/>
    </font>
    <font>
      <b/>
      <i/>
      <sz val="11"/>
      <color theme="1"/>
      <name val="Calibri"/>
      <family val="2"/>
    </font>
    <font>
      <i/>
      <sz val="11"/>
      <color theme="1"/>
      <name val="Calibri"/>
      <family val="2"/>
    </font>
    <font>
      <sz val="11"/>
      <color rgb="FF0000FF"/>
      <name val="Calibri"/>
      <family val="2"/>
    </font>
    <font>
      <b/>
      <sz val="11"/>
      <color rgb="FF0000FF"/>
      <name val="Calibri"/>
      <family val="2"/>
    </font>
    <font>
      <b/>
      <sz val="11"/>
      <name val="Calibri"/>
      <family val="2"/>
    </font>
    <font>
      <i/>
      <sz val="11"/>
      <color rgb="FF0000FF"/>
      <name val="Calibri"/>
      <family val="2"/>
    </font>
    <font>
      <i/>
      <sz val="11"/>
      <name val="Calibri"/>
      <family val="2"/>
    </font>
    <font>
      <sz val="11"/>
      <name val="Calibri"/>
      <family val="2"/>
    </font>
    <font>
      <sz val="11"/>
      <color rgb="FF000000"/>
      <name val="Calibri"/>
      <family val="2"/>
    </font>
    <font>
      <sz val="11"/>
      <color rgb="FF0000FC"/>
      <name val="Calibri"/>
      <family val="2"/>
    </font>
    <font>
      <i/>
      <sz val="11"/>
      <color rgb="FF0000FC"/>
      <name val="Calibri"/>
      <family val="2"/>
    </font>
    <font>
      <i/>
      <sz val="11"/>
      <color rgb="FF000000"/>
      <name val="Calibri"/>
      <family val="2"/>
    </font>
    <font>
      <b/>
      <sz val="9"/>
      <name val="Tahoma"/>
      <family val="2"/>
      <charset val="1"/>
    </font>
    <font>
      <sz val="9"/>
      <name val="Tahoma"/>
      <family val="2"/>
      <charset val="1"/>
    </font>
    <font>
      <sz val="11"/>
      <color theme="1"/>
      <name val="Aptos Narrow"/>
      <family val="2"/>
      <scheme val="minor"/>
    </font>
    <font>
      <sz val="11"/>
      <color rgb="FF006100"/>
      <name val="Aptos Narrow"/>
      <family val="2"/>
      <scheme val="minor"/>
    </font>
    <font>
      <sz val="11"/>
      <color rgb="FF009900"/>
      <name val="Calibri"/>
      <family val="2"/>
    </font>
    <font>
      <i/>
      <strike/>
      <sz val="11"/>
      <color theme="1"/>
      <name val="Calibri"/>
      <family val="2"/>
    </font>
  </fonts>
  <fills count="11">
    <fill>
      <patternFill patternType="none"/>
    </fill>
    <fill>
      <patternFill patternType="gray125"/>
    </fill>
    <fill>
      <patternFill patternType="solid">
        <fgColor theme="3"/>
        <bgColor indexed="64"/>
      </patternFill>
    </fill>
    <fill>
      <patternFill patternType="solid">
        <fgColor theme="0" tint="-4.9989318521683403E-2"/>
        <bgColor indexed="64"/>
      </patternFill>
    </fill>
    <fill>
      <patternFill patternType="solid">
        <fgColor rgb="FFFFC7CE"/>
      </patternFill>
    </fill>
    <fill>
      <patternFill patternType="solid">
        <fgColor rgb="FFFFEB9C"/>
      </patternFill>
    </fill>
    <fill>
      <patternFill patternType="solid">
        <fgColor theme="0" tint="-0.14999847407452621"/>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0" fillId="4" borderId="0" applyNumberFormat="0" applyBorder="0" applyAlignment="0" applyProtection="0"/>
    <xf numFmtId="0" fontId="11" fillId="5" borderId="0" applyNumberFormat="0" applyBorder="0" applyAlignment="0" applyProtection="0"/>
    <xf numFmtId="9" fontId="33" fillId="0" borderId="0" applyFont="0" applyFill="0" applyBorder="0" applyAlignment="0" applyProtection="0"/>
    <xf numFmtId="0" fontId="34" fillId="9" borderId="0" applyNumberFormat="0" applyBorder="0" applyAlignment="0" applyProtection="0"/>
  </cellStyleXfs>
  <cellXfs count="332">
    <xf numFmtId="0" fontId="0" fillId="0" borderId="0" xfId="0"/>
    <xf numFmtId="0" fontId="3" fillId="0" borderId="0" xfId="0" applyFont="1"/>
    <xf numFmtId="0" fontId="0" fillId="0" borderId="0" xfId="0" applyAlignment="1">
      <alignment horizontal="right"/>
    </xf>
    <xf numFmtId="0" fontId="0" fillId="0" borderId="0" xfId="0" applyAlignment="1">
      <alignment horizontal="center"/>
    </xf>
    <xf numFmtId="0" fontId="1" fillId="2" borderId="0" xfId="0" applyFont="1" applyFill="1"/>
    <xf numFmtId="0" fontId="4" fillId="2" borderId="0" xfId="0" applyFont="1" applyFill="1" applyAlignment="1">
      <alignment horizontal="right"/>
    </xf>
    <xf numFmtId="164" fontId="1" fillId="2" borderId="0" xfId="0" applyNumberFormat="1" applyFont="1" applyFill="1"/>
    <xf numFmtId="165" fontId="1" fillId="2" borderId="0" xfId="0" applyNumberFormat="1" applyFont="1" applyFill="1"/>
    <xf numFmtId="164" fontId="1" fillId="2" borderId="0" xfId="0" applyNumberFormat="1" applyFont="1" applyFill="1" applyAlignment="1">
      <alignment horizontal="right"/>
    </xf>
    <xf numFmtId="0" fontId="0" fillId="0" borderId="1" xfId="0" applyBorder="1"/>
    <xf numFmtId="164" fontId="1" fillId="2" borderId="1" xfId="0" applyNumberFormat="1" applyFont="1" applyFill="1" applyBorder="1" applyAlignment="1">
      <alignment horizontal="right"/>
    </xf>
    <xf numFmtId="0" fontId="5" fillId="0" borderId="0" xfId="0" applyFont="1" applyAlignment="1">
      <alignment horizontal="left" indent="1"/>
    </xf>
    <xf numFmtId="0" fontId="5" fillId="0" borderId="0" xfId="0" applyFont="1" applyAlignment="1">
      <alignment horizontal="right"/>
    </xf>
    <xf numFmtId="0" fontId="0" fillId="0" borderId="0" xfId="0" applyFill="1" applyAlignment="1">
      <alignment horizontal="center"/>
    </xf>
    <xf numFmtId="0" fontId="1" fillId="0" borderId="0" xfId="0" applyFont="1" applyFill="1"/>
    <xf numFmtId="0" fontId="4" fillId="0" borderId="0" xfId="0" applyFont="1" applyFill="1" applyAlignment="1">
      <alignment horizontal="right"/>
    </xf>
    <xf numFmtId="164" fontId="1" fillId="0" borderId="0" xfId="0" applyNumberFormat="1" applyFont="1" applyFill="1"/>
    <xf numFmtId="164" fontId="1" fillId="0" borderId="1" xfId="0" applyNumberFormat="1" applyFont="1" applyFill="1" applyBorder="1" applyAlignment="1">
      <alignment horizontal="right"/>
    </xf>
    <xf numFmtId="164" fontId="1" fillId="0" borderId="0" xfId="0" applyNumberFormat="1" applyFont="1" applyFill="1" applyAlignment="1">
      <alignment horizontal="right"/>
    </xf>
    <xf numFmtId="165" fontId="1" fillId="0" borderId="0" xfId="0" applyNumberFormat="1" applyFont="1" applyFill="1"/>
    <xf numFmtId="0" fontId="0" fillId="0" borderId="0" xfId="0" applyFill="1"/>
    <xf numFmtId="0" fontId="5" fillId="0" borderId="0" xfId="0" applyFont="1" applyBorder="1" applyAlignment="1">
      <alignment horizontal="right"/>
    </xf>
    <xf numFmtId="0" fontId="0" fillId="0" borderId="0" xfId="0" applyBorder="1" applyAlignment="1">
      <alignment horizontal="left" indent="1"/>
    </xf>
    <xf numFmtId="0" fontId="2" fillId="3" borderId="4" xfId="0" applyFont="1" applyFill="1" applyBorder="1"/>
    <xf numFmtId="0" fontId="5" fillId="3" borderId="2" xfId="0" applyFont="1" applyFill="1" applyBorder="1" applyAlignment="1">
      <alignment horizontal="right"/>
    </xf>
    <xf numFmtId="166" fontId="0" fillId="0" borderId="0" xfId="0" applyNumberFormat="1" applyBorder="1"/>
    <xf numFmtId="166" fontId="0" fillId="0" borderId="1" xfId="0" applyNumberFormat="1" applyBorder="1"/>
    <xf numFmtId="166" fontId="0" fillId="0" borderId="0" xfId="0" applyNumberFormat="1"/>
    <xf numFmtId="167" fontId="0" fillId="0" borderId="0" xfId="0" applyNumberFormat="1"/>
    <xf numFmtId="167" fontId="6" fillId="0" borderId="1" xfId="0" applyNumberFormat="1" applyFont="1" applyBorder="1"/>
    <xf numFmtId="167" fontId="6" fillId="3" borderId="0" xfId="0" applyNumberFormat="1" applyFont="1" applyFill="1"/>
    <xf numFmtId="166" fontId="0" fillId="3" borderId="0" xfId="0" applyNumberFormat="1" applyFill="1"/>
    <xf numFmtId="168" fontId="0" fillId="3" borderId="0" xfId="0" applyNumberFormat="1" applyFill="1"/>
    <xf numFmtId="167" fontId="0" fillId="3" borderId="0" xfId="0" applyNumberFormat="1" applyFill="1"/>
    <xf numFmtId="166" fontId="0" fillId="0" borderId="1" xfId="0" applyNumberFormat="1" applyFill="1" applyBorder="1"/>
    <xf numFmtId="168" fontId="6" fillId="3" borderId="0" xfId="0" applyNumberFormat="1" applyFont="1" applyFill="1"/>
    <xf numFmtId="168" fontId="6" fillId="0" borderId="0" xfId="0" applyNumberFormat="1" applyFont="1"/>
    <xf numFmtId="0" fontId="7" fillId="3" borderId="5" xfId="0" applyFont="1" applyFill="1" applyBorder="1" applyAlignment="1">
      <alignment horizontal="right"/>
    </xf>
    <xf numFmtId="167" fontId="2" fillId="3" borderId="5" xfId="0" applyNumberFormat="1" applyFont="1" applyFill="1" applyBorder="1"/>
    <xf numFmtId="167" fontId="2" fillId="3" borderId="6" xfId="0" applyNumberFormat="1" applyFont="1" applyFill="1" applyBorder="1" applyAlignment="1">
      <alignment horizontal="right"/>
    </xf>
    <xf numFmtId="167" fontId="2" fillId="3" borderId="6" xfId="0" applyNumberFormat="1" applyFont="1" applyFill="1" applyBorder="1"/>
    <xf numFmtId="0" fontId="2" fillId="3" borderId="8" xfId="0" applyFont="1" applyFill="1" applyBorder="1"/>
    <xf numFmtId="0" fontId="7" fillId="3" borderId="0" xfId="0" applyFont="1" applyFill="1" applyBorder="1" applyAlignment="1">
      <alignment horizontal="right"/>
    </xf>
    <xf numFmtId="167" fontId="2" fillId="3" borderId="0" xfId="0" applyNumberFormat="1" applyFont="1" applyFill="1" applyBorder="1"/>
    <xf numFmtId="0" fontId="5" fillId="3" borderId="0" xfId="0" applyFont="1" applyFill="1" applyBorder="1" applyAlignment="1">
      <alignment horizontal="right"/>
    </xf>
    <xf numFmtId="166" fontId="0" fillId="3" borderId="0" xfId="0" applyNumberFormat="1" applyFill="1" applyBorder="1"/>
    <xf numFmtId="168" fontId="0" fillId="3" borderId="0" xfId="0" applyNumberFormat="1" applyFill="1" applyBorder="1"/>
    <xf numFmtId="168" fontId="0" fillId="3" borderId="1" xfId="0" applyNumberFormat="1" applyFill="1" applyBorder="1"/>
    <xf numFmtId="0" fontId="0" fillId="3" borderId="8" xfId="0" applyFill="1" applyBorder="1" applyAlignment="1">
      <alignment horizontal="left" indent="1"/>
    </xf>
    <xf numFmtId="167" fontId="2" fillId="3" borderId="1" xfId="0" applyNumberFormat="1" applyFont="1" applyFill="1" applyBorder="1"/>
    <xf numFmtId="166" fontId="5" fillId="3" borderId="2" xfId="0" applyNumberFormat="1" applyFont="1" applyFill="1" applyBorder="1"/>
    <xf numFmtId="168" fontId="5" fillId="3" borderId="2" xfId="0" applyNumberFormat="1" applyFont="1" applyFill="1" applyBorder="1"/>
    <xf numFmtId="168" fontId="5" fillId="3" borderId="3" xfId="0" applyNumberFormat="1" applyFont="1" applyFill="1" applyBorder="1"/>
    <xf numFmtId="166" fontId="5" fillId="3" borderId="0" xfId="0" applyNumberFormat="1" applyFont="1" applyFill="1" applyBorder="1"/>
    <xf numFmtId="168" fontId="5" fillId="3" borderId="0" xfId="0" applyNumberFormat="1" applyFont="1" applyFill="1" applyBorder="1"/>
    <xf numFmtId="168" fontId="5" fillId="3" borderId="1" xfId="0" applyNumberFormat="1" applyFont="1" applyFill="1" applyBorder="1"/>
    <xf numFmtId="0" fontId="5" fillId="3" borderId="7" xfId="0" applyFont="1" applyFill="1" applyBorder="1" applyAlignment="1">
      <alignment horizontal="left" indent="1"/>
    </xf>
    <xf numFmtId="0" fontId="5" fillId="3" borderId="8" xfId="0" applyFont="1" applyFill="1" applyBorder="1" applyAlignment="1">
      <alignment horizontal="left" indent="1"/>
    </xf>
    <xf numFmtId="43" fontId="0" fillId="0" borderId="0" xfId="0" applyNumberFormat="1"/>
    <xf numFmtId="166" fontId="5" fillId="3" borderId="0" xfId="0" applyNumberFormat="1" applyFont="1" applyFill="1"/>
    <xf numFmtId="168" fontId="5" fillId="3" borderId="0" xfId="0" applyNumberFormat="1" applyFont="1" applyFill="1"/>
    <xf numFmtId="166" fontId="5" fillId="0" borderId="1" xfId="0" applyNumberFormat="1" applyFont="1" applyBorder="1"/>
    <xf numFmtId="166" fontId="5" fillId="0" borderId="0" xfId="0" applyNumberFormat="1" applyFont="1"/>
    <xf numFmtId="168" fontId="5" fillId="0" borderId="1" xfId="0" applyNumberFormat="1" applyFont="1" applyFill="1" applyBorder="1"/>
    <xf numFmtId="168" fontId="5" fillId="0" borderId="0" xfId="0" applyNumberFormat="1" applyFont="1"/>
    <xf numFmtId="0" fontId="0" fillId="0" borderId="0" xfId="0" applyFont="1" applyAlignment="1">
      <alignment horizontal="left"/>
    </xf>
    <xf numFmtId="167" fontId="6" fillId="0" borderId="0" xfId="0" applyNumberFormat="1" applyFont="1" applyBorder="1"/>
    <xf numFmtId="169" fontId="12" fillId="7" borderId="0" xfId="0" applyNumberFormat="1" applyFont="1" applyFill="1"/>
    <xf numFmtId="169" fontId="13" fillId="8" borderId="0" xfId="0" applyNumberFormat="1" applyFont="1" applyFill="1"/>
    <xf numFmtId="169" fontId="13" fillId="0" borderId="0" xfId="0" applyNumberFormat="1" applyFont="1" applyFill="1"/>
    <xf numFmtId="0" fontId="14" fillId="0" borderId="0" xfId="0" applyFont="1" applyAlignment="1">
      <alignment horizontal="center"/>
    </xf>
    <xf numFmtId="0" fontId="14" fillId="0" borderId="0" xfId="0" applyFont="1"/>
    <xf numFmtId="0" fontId="14" fillId="0" borderId="0" xfId="0" applyFont="1" applyAlignment="1">
      <alignment horizontal="right"/>
    </xf>
    <xf numFmtId="0" fontId="14" fillId="0" borderId="1" xfId="0" applyFont="1" applyBorder="1"/>
    <xf numFmtId="0" fontId="15" fillId="0" borderId="0" xfId="0" applyFont="1"/>
    <xf numFmtId="0" fontId="16" fillId="2" borderId="0" xfId="0" applyFont="1" applyFill="1"/>
    <xf numFmtId="0" fontId="17" fillId="2" borderId="0" xfId="0" applyFont="1" applyFill="1" applyAlignment="1">
      <alignment horizontal="right"/>
    </xf>
    <xf numFmtId="164" fontId="16" fillId="2" borderId="0" xfId="0" applyNumberFormat="1" applyFont="1" applyFill="1"/>
    <xf numFmtId="164" fontId="16" fillId="2" borderId="1" xfId="0" applyNumberFormat="1" applyFont="1" applyFill="1" applyBorder="1" applyAlignment="1">
      <alignment horizontal="right"/>
    </xf>
    <xf numFmtId="164" fontId="16" fillId="2" borderId="0" xfId="0" applyNumberFormat="1" applyFont="1" applyFill="1" applyAlignment="1">
      <alignment horizontal="right"/>
    </xf>
    <xf numFmtId="165" fontId="16" fillId="2" borderId="0" xfId="0" applyNumberFormat="1" applyFont="1" applyFill="1"/>
    <xf numFmtId="0" fontId="14" fillId="0" borderId="0" xfId="0" applyFont="1" applyFill="1" applyAlignment="1">
      <alignment horizontal="center"/>
    </xf>
    <xf numFmtId="0" fontId="16" fillId="0" borderId="0" xfId="0" applyFont="1" applyFill="1"/>
    <xf numFmtId="0" fontId="17" fillId="0" borderId="0" xfId="0" applyFont="1" applyFill="1" applyAlignment="1">
      <alignment horizontal="right"/>
    </xf>
    <xf numFmtId="164" fontId="16" fillId="0" borderId="0" xfId="0" applyNumberFormat="1" applyFont="1" applyFill="1"/>
    <xf numFmtId="164" fontId="16" fillId="0" borderId="1" xfId="0" applyNumberFormat="1" applyFont="1" applyFill="1" applyBorder="1" applyAlignment="1">
      <alignment horizontal="right"/>
    </xf>
    <xf numFmtId="164" fontId="16" fillId="0" borderId="0" xfId="0" applyNumberFormat="1" applyFont="1" applyFill="1" applyAlignment="1">
      <alignment horizontal="right"/>
    </xf>
    <xf numFmtId="165" fontId="16" fillId="0" borderId="0" xfId="0" applyNumberFormat="1" applyFont="1" applyFill="1"/>
    <xf numFmtId="0" fontId="14" fillId="0" borderId="0" xfId="0" applyFont="1" applyFill="1"/>
    <xf numFmtId="0" fontId="18" fillId="6" borderId="4" xfId="0" applyFont="1" applyFill="1" applyBorder="1"/>
    <xf numFmtId="0" fontId="19" fillId="6" borderId="5" xfId="0" applyFont="1" applyFill="1" applyBorder="1" applyAlignment="1">
      <alignment horizontal="right"/>
    </xf>
    <xf numFmtId="167" fontId="18" fillId="6" borderId="5" xfId="0" applyNumberFormat="1" applyFont="1" applyFill="1" applyBorder="1"/>
    <xf numFmtId="167" fontId="18" fillId="6" borderId="6" xfId="0" applyNumberFormat="1" applyFont="1" applyFill="1" applyBorder="1" applyAlignment="1">
      <alignment horizontal="right"/>
    </xf>
    <xf numFmtId="167" fontId="18" fillId="6" borderId="6" xfId="0" applyNumberFormat="1" applyFont="1" applyFill="1" applyBorder="1"/>
    <xf numFmtId="0" fontId="19" fillId="6" borderId="8" xfId="0" applyFont="1" applyFill="1" applyBorder="1" applyAlignment="1">
      <alignment horizontal="left" indent="1"/>
    </xf>
    <xf numFmtId="0" fontId="20" fillId="6" borderId="0" xfId="0" applyFont="1" applyFill="1" applyBorder="1" applyAlignment="1">
      <alignment horizontal="right"/>
    </xf>
    <xf numFmtId="166" fontId="20" fillId="6" borderId="0" xfId="0" applyNumberFormat="1" applyFont="1" applyFill="1" applyBorder="1"/>
    <xf numFmtId="168" fontId="20" fillId="6" borderId="0" xfId="0" applyNumberFormat="1" applyFont="1" applyFill="1" applyBorder="1"/>
    <xf numFmtId="168" fontId="20" fillId="6" borderId="1" xfId="0" applyNumberFormat="1" applyFont="1" applyFill="1" applyBorder="1"/>
    <xf numFmtId="0" fontId="14" fillId="6" borderId="8" xfId="0" applyFont="1" applyFill="1" applyBorder="1" applyAlignment="1">
      <alignment horizontal="left" indent="1"/>
    </xf>
    <xf numFmtId="166" fontId="14" fillId="6" borderId="0" xfId="0" applyNumberFormat="1" applyFont="1" applyFill="1" applyBorder="1"/>
    <xf numFmtId="168" fontId="14" fillId="6" borderId="0" xfId="0" applyNumberFormat="1" applyFont="1" applyFill="1" applyBorder="1"/>
    <xf numFmtId="168" fontId="14" fillId="6" borderId="1" xfId="0" applyNumberFormat="1" applyFont="1" applyFill="1" applyBorder="1"/>
    <xf numFmtId="0" fontId="18" fillId="6" borderId="8" xfId="0" applyFont="1" applyFill="1" applyBorder="1"/>
    <xf numFmtId="0" fontId="19" fillId="6" borderId="0" xfId="0" applyFont="1" applyFill="1" applyBorder="1" applyAlignment="1">
      <alignment horizontal="right"/>
    </xf>
    <xf numFmtId="167" fontId="18" fillId="6" borderId="0" xfId="0" applyNumberFormat="1" applyFont="1" applyFill="1" applyBorder="1"/>
    <xf numFmtId="167" fontId="18" fillId="6" borderId="1" xfId="0" applyNumberFormat="1" applyFont="1" applyFill="1" applyBorder="1"/>
    <xf numFmtId="0" fontId="19" fillId="6" borderId="7" xfId="0" applyFont="1" applyFill="1" applyBorder="1" applyAlignment="1">
      <alignment horizontal="left" indent="1"/>
    </xf>
    <xf numFmtId="0" fontId="20" fillId="6" borderId="2" xfId="0" applyFont="1" applyFill="1" applyBorder="1" applyAlignment="1">
      <alignment horizontal="right"/>
    </xf>
    <xf numFmtId="166" fontId="20" fillId="6" borderId="2" xfId="0" applyNumberFormat="1" applyFont="1" applyFill="1" applyBorder="1"/>
    <xf numFmtId="168" fontId="20" fillId="6" borderId="2" xfId="0" applyNumberFormat="1" applyFont="1" applyFill="1" applyBorder="1"/>
    <xf numFmtId="168" fontId="20" fillId="6" borderId="3" xfId="0" applyNumberFormat="1" applyFont="1" applyFill="1" applyBorder="1"/>
    <xf numFmtId="0" fontId="14" fillId="0" borderId="0" xfId="0" applyFont="1" applyBorder="1" applyAlignment="1">
      <alignment horizontal="left" indent="1"/>
    </xf>
    <xf numFmtId="0" fontId="20" fillId="0" borderId="0" xfId="0" applyFont="1" applyBorder="1" applyAlignment="1">
      <alignment horizontal="right"/>
    </xf>
    <xf numFmtId="166" fontId="14" fillId="3" borderId="0" xfId="0" applyNumberFormat="1" applyFont="1" applyFill="1"/>
    <xf numFmtId="166" fontId="14" fillId="0" borderId="0" xfId="0" applyNumberFormat="1" applyFont="1" applyFill="1"/>
    <xf numFmtId="166" fontId="14" fillId="0" borderId="1" xfId="0" applyNumberFormat="1" applyFont="1" applyBorder="1"/>
    <xf numFmtId="166" fontId="14" fillId="0" borderId="0" xfId="0" applyNumberFormat="1" applyFont="1" applyBorder="1"/>
    <xf numFmtId="0" fontId="20" fillId="0" borderId="0" xfId="0" applyFont="1" applyAlignment="1">
      <alignment horizontal="right"/>
    </xf>
    <xf numFmtId="167" fontId="21" fillId="3" borderId="0" xfId="0" applyNumberFormat="1" applyFont="1" applyFill="1"/>
    <xf numFmtId="167" fontId="21" fillId="0" borderId="0" xfId="0" applyNumberFormat="1" applyFont="1" applyFill="1"/>
    <xf numFmtId="167" fontId="21" fillId="0" borderId="1" xfId="0" applyNumberFormat="1" applyFont="1" applyBorder="1"/>
    <xf numFmtId="167" fontId="14" fillId="0" borderId="0" xfId="0" applyNumberFormat="1" applyFont="1"/>
    <xf numFmtId="167" fontId="14" fillId="3" borderId="0" xfId="0" applyNumberFormat="1" applyFont="1" applyFill="1"/>
    <xf numFmtId="43" fontId="14" fillId="0" borderId="0" xfId="0" applyNumberFormat="1" applyFont="1"/>
    <xf numFmtId="0" fontId="20" fillId="0" borderId="0" xfId="0" applyFont="1" applyAlignment="1">
      <alignment horizontal="left" indent="1"/>
    </xf>
    <xf numFmtId="168" fontId="14" fillId="3" borderId="0" xfId="0" applyNumberFormat="1" applyFont="1" applyFill="1"/>
    <xf numFmtId="168" fontId="14" fillId="0" borderId="0" xfId="0" applyNumberFormat="1" applyFont="1" applyFill="1"/>
    <xf numFmtId="166" fontId="14" fillId="0" borderId="1" xfId="0" applyNumberFormat="1" applyFont="1" applyFill="1" applyBorder="1"/>
    <xf numFmtId="168" fontId="21" fillId="0" borderId="0" xfId="0" applyNumberFormat="1" applyFont="1"/>
    <xf numFmtId="168" fontId="21" fillId="3" borderId="0" xfId="0" applyNumberFormat="1" applyFont="1" applyFill="1"/>
    <xf numFmtId="166" fontId="14" fillId="0" borderId="0" xfId="0" applyNumberFormat="1" applyFont="1"/>
    <xf numFmtId="167" fontId="22" fillId="6" borderId="5" xfId="0" applyNumberFormat="1" applyFont="1" applyFill="1" applyBorder="1"/>
    <xf numFmtId="167" fontId="23" fillId="6" borderId="5" xfId="0" applyNumberFormat="1" applyFont="1" applyFill="1" applyBorder="1"/>
    <xf numFmtId="167" fontId="22" fillId="6" borderId="6" xfId="0" applyNumberFormat="1" applyFont="1" applyFill="1" applyBorder="1"/>
    <xf numFmtId="167" fontId="23" fillId="6" borderId="6" xfId="0" applyNumberFormat="1" applyFont="1" applyFill="1" applyBorder="1"/>
    <xf numFmtId="0" fontId="20" fillId="6" borderId="8" xfId="0" applyFont="1" applyFill="1" applyBorder="1" applyAlignment="1">
      <alignment horizontal="left" indent="1"/>
    </xf>
    <xf numFmtId="0" fontId="20" fillId="6" borderId="7" xfId="0" applyFont="1" applyFill="1" applyBorder="1" applyAlignment="1">
      <alignment horizontal="left" indent="1"/>
    </xf>
    <xf numFmtId="168" fontId="24" fillId="6" borderId="2" xfId="0" applyNumberFormat="1" applyFont="1" applyFill="1" applyBorder="1"/>
    <xf numFmtId="168" fontId="25" fillId="6" borderId="2" xfId="0" applyNumberFormat="1" applyFont="1" applyFill="1" applyBorder="1"/>
    <xf numFmtId="168" fontId="25" fillId="6" borderId="3" xfId="0" applyNumberFormat="1" applyFont="1" applyFill="1" applyBorder="1"/>
    <xf numFmtId="169" fontId="14" fillId="3" borderId="0" xfId="0" applyNumberFormat="1" applyFont="1" applyFill="1"/>
    <xf numFmtId="169" fontId="14" fillId="0" borderId="0" xfId="0" applyNumberFormat="1" applyFont="1" applyFill="1"/>
    <xf numFmtId="169" fontId="14" fillId="0" borderId="1" xfId="0" applyNumberFormat="1" applyFont="1" applyFill="1" applyBorder="1"/>
    <xf numFmtId="169" fontId="14" fillId="0" borderId="0" xfId="0" applyNumberFormat="1" applyFont="1"/>
    <xf numFmtId="168" fontId="20" fillId="0" borderId="1" xfId="0" applyNumberFormat="1" applyFont="1" applyFill="1" applyBorder="1"/>
    <xf numFmtId="168" fontId="24" fillId="0" borderId="0" xfId="0" applyNumberFormat="1" applyFont="1" applyFill="1" applyBorder="1"/>
    <xf numFmtId="0" fontId="20" fillId="6" borderId="5" xfId="0" applyFont="1" applyFill="1" applyBorder="1" applyAlignment="1">
      <alignment horizontal="right"/>
    </xf>
    <xf numFmtId="166" fontId="22" fillId="6" borderId="5" xfId="0" applyNumberFormat="1" applyFont="1" applyFill="1" applyBorder="1"/>
    <xf numFmtId="166" fontId="23" fillId="6" borderId="5" xfId="0" applyNumberFormat="1" applyFont="1" applyFill="1" applyBorder="1"/>
    <xf numFmtId="166" fontId="22" fillId="6" borderId="6" xfId="0" applyNumberFormat="1" applyFont="1" applyFill="1" applyBorder="1"/>
    <xf numFmtId="166" fontId="14" fillId="6" borderId="2" xfId="0" applyNumberFormat="1" applyFont="1" applyFill="1" applyBorder="1"/>
    <xf numFmtId="168" fontId="14" fillId="6" borderId="2" xfId="0" applyNumberFormat="1" applyFont="1" applyFill="1" applyBorder="1"/>
    <xf numFmtId="168" fontId="14" fillId="6" borderId="3" xfId="0" applyNumberFormat="1" applyFont="1" applyFill="1" applyBorder="1"/>
    <xf numFmtId="164" fontId="16" fillId="2" borderId="2" xfId="0" applyNumberFormat="1" applyFont="1" applyFill="1" applyBorder="1"/>
    <xf numFmtId="164" fontId="16" fillId="2" borderId="3" xfId="0" applyNumberFormat="1" applyFont="1" applyFill="1" applyBorder="1" applyAlignment="1">
      <alignment horizontal="right"/>
    </xf>
    <xf numFmtId="164" fontId="16" fillId="2" borderId="2" xfId="0" applyNumberFormat="1" applyFont="1" applyFill="1" applyBorder="1" applyAlignment="1">
      <alignment horizontal="right"/>
    </xf>
    <xf numFmtId="165" fontId="16" fillId="2" borderId="2" xfId="0" applyNumberFormat="1" applyFont="1" applyFill="1" applyBorder="1"/>
    <xf numFmtId="0" fontId="18" fillId="0" borderId="0" xfId="0" applyFont="1"/>
    <xf numFmtId="166" fontId="22" fillId="3" borderId="0" xfId="0" applyNumberFormat="1" applyFont="1" applyFill="1"/>
    <xf numFmtId="166" fontId="22" fillId="0" borderId="0" xfId="0" applyNumberFormat="1" applyFont="1" applyFill="1"/>
    <xf numFmtId="166" fontId="22" fillId="0" borderId="1" xfId="0" applyNumberFormat="1" applyFont="1" applyBorder="1"/>
    <xf numFmtId="166" fontId="18" fillId="0" borderId="0" xfId="0" applyNumberFormat="1" applyFont="1"/>
    <xf numFmtId="166" fontId="18" fillId="3" borderId="0" xfId="0" applyNumberFormat="1" applyFont="1" applyFill="1"/>
    <xf numFmtId="0" fontId="14" fillId="0" borderId="0" xfId="0" applyFont="1" applyFill="1" applyBorder="1" applyAlignment="1">
      <alignment horizontal="left" indent="1"/>
    </xf>
    <xf numFmtId="0" fontId="20" fillId="0" borderId="0" xfId="0" applyFont="1" applyFill="1" applyBorder="1" applyAlignment="1">
      <alignment horizontal="left" indent="2"/>
    </xf>
    <xf numFmtId="168" fontId="26" fillId="3" borderId="0" xfId="0" applyNumberFormat="1" applyFont="1" applyFill="1"/>
    <xf numFmtId="0" fontId="14" fillId="0" borderId="0" xfId="0" applyFont="1" applyAlignment="1">
      <alignment horizontal="left" indent="1"/>
    </xf>
    <xf numFmtId="0" fontId="18" fillId="0" borderId="0" xfId="0" applyFont="1" applyAlignment="1">
      <alignment horizontal="left"/>
    </xf>
    <xf numFmtId="166" fontId="20" fillId="3" borderId="0" xfId="0" applyNumberFormat="1" applyFont="1" applyFill="1"/>
    <xf numFmtId="166" fontId="20" fillId="0" borderId="0" xfId="0" applyNumberFormat="1" applyFont="1" applyFill="1"/>
    <xf numFmtId="168" fontId="20" fillId="3" borderId="0" xfId="0" applyNumberFormat="1" applyFont="1" applyFill="1"/>
    <xf numFmtId="168" fontId="24" fillId="0" borderId="0" xfId="0" applyNumberFormat="1" applyFont="1" applyFill="1"/>
    <xf numFmtId="168" fontId="24" fillId="0" borderId="0" xfId="0" applyNumberFormat="1" applyFont="1"/>
    <xf numFmtId="168" fontId="24" fillId="3" borderId="0" xfId="0" applyNumberFormat="1" applyFont="1" applyFill="1"/>
    <xf numFmtId="169" fontId="27" fillId="7" borderId="0" xfId="0" applyNumberFormat="1" applyFont="1" applyFill="1"/>
    <xf numFmtId="169" fontId="28" fillId="8" borderId="0" xfId="0" applyNumberFormat="1" applyFont="1" applyFill="1"/>
    <xf numFmtId="168" fontId="25" fillId="3" borderId="0" xfId="0" applyNumberFormat="1" applyFont="1" applyFill="1"/>
    <xf numFmtId="168" fontId="25" fillId="0" borderId="0" xfId="0" applyNumberFormat="1" applyFont="1" applyFill="1"/>
    <xf numFmtId="168" fontId="25" fillId="0" borderId="1" xfId="0" applyNumberFormat="1" applyFont="1" applyFill="1" applyBorder="1"/>
    <xf numFmtId="169" fontId="21" fillId="3" borderId="0" xfId="0" applyNumberFormat="1" applyFont="1" applyFill="1"/>
    <xf numFmtId="169" fontId="21" fillId="0" borderId="0" xfId="0" applyNumberFormat="1" applyFont="1" applyFill="1"/>
    <xf numFmtId="169" fontId="21" fillId="0" borderId="1" xfId="0" applyNumberFormat="1" applyFont="1" applyBorder="1"/>
    <xf numFmtId="169" fontId="21" fillId="7" borderId="0" xfId="0" applyNumberFormat="1" applyFont="1" applyFill="1"/>
    <xf numFmtId="168" fontId="20" fillId="0" borderId="0" xfId="0" applyNumberFormat="1" applyFont="1" applyFill="1"/>
    <xf numFmtId="169" fontId="14" fillId="0" borderId="0" xfId="0" applyNumberFormat="1" applyFont="1" applyFill="1" applyBorder="1"/>
    <xf numFmtId="167" fontId="14" fillId="0" borderId="0" xfId="0" applyNumberFormat="1" applyFont="1" applyFill="1"/>
    <xf numFmtId="168" fontId="21" fillId="0" borderId="0" xfId="0" applyNumberFormat="1" applyFont="1" applyFill="1"/>
    <xf numFmtId="166" fontId="18" fillId="0" borderId="0" xfId="0" applyNumberFormat="1" applyFont="1" applyFill="1"/>
    <xf numFmtId="169" fontId="28" fillId="7" borderId="0" xfId="0" applyNumberFormat="1" applyFont="1" applyFill="1"/>
    <xf numFmtId="168" fontId="29" fillId="8" borderId="0" xfId="0" applyNumberFormat="1" applyFont="1" applyFill="1"/>
    <xf numFmtId="169" fontId="27" fillId="8" borderId="0" xfId="0" applyNumberFormat="1" applyFont="1" applyFill="1"/>
    <xf numFmtId="169" fontId="12" fillId="8" borderId="0" xfId="0" applyNumberFormat="1" applyFont="1" applyFill="1"/>
    <xf numFmtId="169" fontId="27" fillId="3" borderId="0" xfId="0" applyNumberFormat="1" applyFont="1" applyFill="1"/>
    <xf numFmtId="169" fontId="12" fillId="3" borderId="0" xfId="0" applyNumberFormat="1" applyFont="1" applyFill="1"/>
    <xf numFmtId="169" fontId="18" fillId="3" borderId="0" xfId="0" applyNumberFormat="1" applyFont="1" applyFill="1"/>
    <xf numFmtId="169" fontId="18" fillId="0" borderId="0" xfId="0" applyNumberFormat="1" applyFont="1" applyFill="1"/>
    <xf numFmtId="169" fontId="18" fillId="0" borderId="1" xfId="0" applyNumberFormat="1" applyFont="1" applyFill="1" applyBorder="1"/>
    <xf numFmtId="169" fontId="18" fillId="0" borderId="0" xfId="0" applyNumberFormat="1" applyFont="1" applyFill="1" applyBorder="1"/>
    <xf numFmtId="169" fontId="22" fillId="3" borderId="0" xfId="0" applyNumberFormat="1" applyFont="1" applyFill="1"/>
    <xf numFmtId="169" fontId="22" fillId="0" borderId="0" xfId="0" applyNumberFormat="1" applyFont="1" applyFill="1"/>
    <xf numFmtId="169" fontId="22" fillId="0" borderId="1" xfId="0" applyNumberFormat="1" applyFont="1" applyFill="1" applyBorder="1"/>
    <xf numFmtId="169" fontId="26" fillId="3" borderId="0" xfId="0" applyNumberFormat="1" applyFont="1" applyFill="1"/>
    <xf numFmtId="168" fontId="18" fillId="3" borderId="0" xfId="0" applyNumberFormat="1" applyFont="1" applyFill="1"/>
    <xf numFmtId="168" fontId="18" fillId="0" borderId="0" xfId="0" applyNumberFormat="1" applyFont="1" applyFill="1"/>
    <xf numFmtId="168" fontId="18" fillId="0" borderId="1" xfId="0" applyNumberFormat="1" applyFont="1" applyFill="1" applyBorder="1"/>
    <xf numFmtId="168" fontId="30" fillId="7" borderId="0" xfId="0" applyNumberFormat="1" applyFont="1" applyFill="1"/>
    <xf numFmtId="168" fontId="20" fillId="0" borderId="1" xfId="0" applyNumberFormat="1" applyFont="1" applyBorder="1"/>
    <xf numFmtId="168" fontId="20" fillId="0" borderId="0" xfId="0" applyNumberFormat="1" applyFont="1" applyBorder="1"/>
    <xf numFmtId="170" fontId="18" fillId="3" borderId="0" xfId="0" applyNumberFormat="1" applyFont="1" applyFill="1"/>
    <xf numFmtId="170" fontId="18" fillId="0" borderId="1" xfId="0" applyNumberFormat="1" applyFont="1" applyFill="1" applyBorder="1"/>
    <xf numFmtId="170" fontId="18" fillId="0" borderId="0" xfId="0" applyNumberFormat="1" applyFont="1" applyFill="1"/>
    <xf numFmtId="170" fontId="23" fillId="8" borderId="0" xfId="0" applyNumberFormat="1" applyFont="1" applyFill="1"/>
    <xf numFmtId="170" fontId="23" fillId="7" borderId="0" xfId="0" applyNumberFormat="1" applyFont="1" applyFill="1"/>
    <xf numFmtId="166" fontId="10" fillId="4" borderId="0" xfId="1" applyNumberFormat="1"/>
    <xf numFmtId="169" fontId="27" fillId="8" borderId="0" xfId="0" applyNumberFormat="1" applyFont="1" applyFill="1" applyAlignment="1">
      <alignment horizontal="left" indent="1"/>
    </xf>
    <xf numFmtId="168" fontId="30" fillId="8" borderId="0" xfId="0" applyNumberFormat="1" applyFont="1" applyFill="1" applyAlignment="1">
      <alignment horizontal="left" indent="1"/>
    </xf>
    <xf numFmtId="166" fontId="12" fillId="8" borderId="0" xfId="0" applyNumberFormat="1" applyFont="1" applyFill="1" applyAlignment="1">
      <alignment horizontal="left"/>
    </xf>
    <xf numFmtId="169" fontId="27" fillId="8" borderId="0" xfId="0" applyNumberFormat="1" applyFont="1" applyFill="1" applyBorder="1" applyAlignment="1">
      <alignment horizontal="left" indent="1"/>
    </xf>
    <xf numFmtId="169" fontId="13" fillId="8" borderId="0" xfId="0" applyNumberFormat="1" applyFont="1" applyFill="1" applyBorder="1"/>
    <xf numFmtId="169" fontId="12" fillId="7" borderId="0" xfId="0" applyNumberFormat="1" applyFont="1" applyFill="1" applyBorder="1"/>
    <xf numFmtId="169" fontId="13" fillId="8" borderId="1" xfId="0" applyNumberFormat="1" applyFont="1" applyFill="1" applyBorder="1"/>
    <xf numFmtId="169" fontId="13" fillId="3" borderId="0" xfId="0" applyNumberFormat="1" applyFont="1" applyFill="1" applyBorder="1"/>
    <xf numFmtId="169" fontId="12" fillId="8" borderId="0" xfId="0" applyNumberFormat="1" applyFont="1" applyFill="1" applyBorder="1"/>
    <xf numFmtId="169" fontId="12" fillId="8" borderId="1" xfId="0" applyNumberFormat="1" applyFont="1" applyFill="1" applyBorder="1"/>
    <xf numFmtId="169" fontId="27" fillId="8" borderId="0" xfId="0" applyNumberFormat="1" applyFont="1" applyFill="1" applyBorder="1"/>
    <xf numFmtId="169" fontId="27" fillId="8" borderId="1" xfId="0" applyNumberFormat="1" applyFont="1" applyFill="1" applyBorder="1"/>
    <xf numFmtId="169" fontId="13" fillId="7" borderId="0" xfId="0" applyNumberFormat="1" applyFont="1" applyFill="1"/>
    <xf numFmtId="168" fontId="30" fillId="0" borderId="0" xfId="0" applyNumberFormat="1" applyFont="1" applyFill="1"/>
    <xf numFmtId="168" fontId="30" fillId="0" borderId="1" xfId="0" applyNumberFormat="1" applyFont="1" applyFill="1" applyBorder="1"/>
    <xf numFmtId="169" fontId="22" fillId="0" borderId="1" xfId="0" applyNumberFormat="1" applyFont="1" applyBorder="1"/>
    <xf numFmtId="169" fontId="18" fillId="0" borderId="0" xfId="0" applyNumberFormat="1" applyFont="1"/>
    <xf numFmtId="169" fontId="23" fillId="3" borderId="0" xfId="0" applyNumberFormat="1" applyFont="1" applyFill="1"/>
    <xf numFmtId="169" fontId="23" fillId="8" borderId="0" xfId="0" applyNumberFormat="1" applyFont="1" applyFill="1" applyBorder="1"/>
    <xf numFmtId="169" fontId="23" fillId="6" borderId="5" xfId="0" applyNumberFormat="1" applyFont="1" applyFill="1" applyBorder="1"/>
    <xf numFmtId="169" fontId="23" fillId="6" borderId="6" xfId="0" applyNumberFormat="1" applyFont="1" applyFill="1" applyBorder="1"/>
    <xf numFmtId="169" fontId="26" fillId="7" borderId="0" xfId="0" applyNumberFormat="1" applyFont="1" applyFill="1"/>
    <xf numFmtId="169" fontId="26" fillId="8" borderId="0" xfId="0" applyNumberFormat="1" applyFont="1" applyFill="1"/>
    <xf numFmtId="169" fontId="22" fillId="6" borderId="5" xfId="0" applyNumberFormat="1" applyFont="1" applyFill="1" applyBorder="1"/>
    <xf numFmtId="169" fontId="22" fillId="6" borderId="6" xfId="0" applyNumberFormat="1" applyFont="1" applyFill="1" applyBorder="1"/>
    <xf numFmtId="168" fontId="25" fillId="8" borderId="0" xfId="0" applyNumberFormat="1" applyFont="1" applyFill="1"/>
    <xf numFmtId="168" fontId="25" fillId="0" borderId="0" xfId="0" applyNumberFormat="1" applyFont="1" applyFill="1" applyBorder="1"/>
    <xf numFmtId="168" fontId="25" fillId="3" borderId="0" xfId="0" applyNumberFormat="1" applyFont="1" applyFill="1" applyBorder="1"/>
    <xf numFmtId="168" fontId="25" fillId="0" borderId="0" xfId="0" applyNumberFormat="1" applyFont="1"/>
    <xf numFmtId="0" fontId="14" fillId="6" borderId="4" xfId="0" applyFont="1" applyFill="1" applyBorder="1"/>
    <xf numFmtId="169" fontId="26" fillId="6" borderId="5" xfId="0" applyNumberFormat="1" applyFont="1" applyFill="1" applyBorder="1"/>
    <xf numFmtId="169" fontId="26" fillId="6" borderId="6" xfId="0" applyNumberFormat="1" applyFont="1" applyFill="1" applyBorder="1"/>
    <xf numFmtId="171" fontId="6" fillId="10" borderId="9" xfId="0" applyNumberFormat="1" applyFont="1" applyFill="1" applyBorder="1" applyAlignment="1">
      <alignment horizontal="center"/>
    </xf>
    <xf numFmtId="172" fontId="6" fillId="10" borderId="9" xfId="0" applyNumberFormat="1" applyFont="1" applyFill="1" applyBorder="1" applyAlignment="1">
      <alignment horizontal="center"/>
    </xf>
    <xf numFmtId="170" fontId="12" fillId="6" borderId="11" xfId="0" applyNumberFormat="1" applyFont="1" applyFill="1" applyBorder="1"/>
    <xf numFmtId="170" fontId="12" fillId="6" borderId="12" xfId="0" applyNumberFormat="1" applyFont="1" applyFill="1" applyBorder="1"/>
    <xf numFmtId="0" fontId="14" fillId="0" borderId="2" xfId="0" applyFont="1" applyBorder="1"/>
    <xf numFmtId="0" fontId="20" fillId="0" borderId="0" xfId="0" applyFont="1" applyAlignment="1">
      <alignment horizontal="left" indent="2"/>
    </xf>
    <xf numFmtId="0" fontId="20" fillId="0" borderId="2" xfId="0" applyFont="1" applyBorder="1" applyAlignment="1">
      <alignment horizontal="left" indent="1"/>
    </xf>
    <xf numFmtId="169" fontId="14" fillId="3" borderId="2" xfId="0" applyNumberFormat="1" applyFont="1" applyFill="1" applyBorder="1"/>
    <xf numFmtId="0" fontId="14" fillId="0" borderId="0" xfId="0" applyFont="1" applyBorder="1"/>
    <xf numFmtId="0" fontId="20" fillId="0" borderId="0" xfId="0" applyFont="1" applyBorder="1" applyAlignment="1">
      <alignment horizontal="left" indent="1"/>
    </xf>
    <xf numFmtId="166" fontId="20" fillId="0" borderId="1" xfId="0" applyNumberFormat="1" applyFont="1" applyFill="1" applyBorder="1"/>
    <xf numFmtId="168" fontId="20" fillId="0" borderId="0" xfId="0" applyNumberFormat="1" applyFont="1" applyFill="1" applyBorder="1"/>
    <xf numFmtId="168" fontId="20" fillId="3" borderId="0" xfId="0" applyNumberFormat="1" applyFont="1" applyFill="1" applyBorder="1"/>
    <xf numFmtId="168" fontId="20" fillId="0" borderId="2" xfId="0" applyNumberFormat="1" applyFont="1" applyFill="1" applyBorder="1"/>
    <xf numFmtId="168" fontId="20" fillId="3" borderId="2" xfId="0" applyNumberFormat="1" applyFont="1" applyFill="1" applyBorder="1"/>
    <xf numFmtId="165" fontId="16" fillId="2" borderId="0" xfId="0" applyNumberFormat="1" applyFont="1" applyFill="1" applyAlignment="1">
      <alignment horizontal="center"/>
    </xf>
    <xf numFmtId="0" fontId="36" fillId="0" borderId="0" xfId="0" applyFont="1" applyAlignment="1">
      <alignment horizontal="right"/>
    </xf>
    <xf numFmtId="0" fontId="18" fillId="0" borderId="0" xfId="0" applyFont="1" applyBorder="1" applyAlignment="1">
      <alignment horizontal="left"/>
    </xf>
    <xf numFmtId="9" fontId="20" fillId="0" borderId="0" xfId="3" applyFont="1" applyBorder="1" applyAlignment="1">
      <alignment horizontal="left" indent="1"/>
    </xf>
    <xf numFmtId="169" fontId="14" fillId="0" borderId="2" xfId="0" applyNumberFormat="1" applyFont="1" applyFill="1" applyBorder="1"/>
    <xf numFmtId="168" fontId="20" fillId="0" borderId="3" xfId="0" applyNumberFormat="1" applyFont="1" applyFill="1" applyBorder="1"/>
    <xf numFmtId="169" fontId="26" fillId="0" borderId="0" xfId="0" applyNumberFormat="1" applyFont="1" applyFill="1"/>
    <xf numFmtId="169" fontId="21" fillId="0" borderId="1" xfId="0" applyNumberFormat="1" applyFont="1" applyFill="1" applyBorder="1"/>
    <xf numFmtId="169" fontId="14" fillId="0" borderId="3" xfId="0" applyNumberFormat="1" applyFont="1" applyFill="1" applyBorder="1"/>
    <xf numFmtId="166" fontId="20" fillId="3" borderId="2" xfId="0" applyNumberFormat="1" applyFont="1" applyFill="1" applyBorder="1"/>
    <xf numFmtId="0" fontId="14" fillId="0" borderId="2" xfId="0" applyFont="1" applyBorder="1" applyAlignment="1">
      <alignment horizontal="left" indent="1"/>
    </xf>
    <xf numFmtId="0" fontId="14" fillId="0" borderId="5" xfId="0" applyFont="1" applyBorder="1"/>
    <xf numFmtId="169" fontId="14" fillId="3" borderId="5" xfId="0" applyNumberFormat="1" applyFont="1" applyFill="1" applyBorder="1"/>
    <xf numFmtId="169" fontId="14" fillId="0" borderId="5" xfId="0" applyNumberFormat="1" applyFont="1" applyFill="1" applyBorder="1"/>
    <xf numFmtId="169" fontId="14" fillId="0" borderId="6" xfId="0" applyNumberFormat="1" applyFont="1" applyFill="1" applyBorder="1"/>
    <xf numFmtId="168" fontId="24" fillId="0" borderId="2" xfId="0" applyNumberFormat="1" applyFont="1" applyFill="1" applyBorder="1"/>
    <xf numFmtId="170" fontId="22" fillId="8" borderId="0" xfId="0" applyNumberFormat="1" applyFont="1" applyFill="1"/>
    <xf numFmtId="166" fontId="18" fillId="6" borderId="5" xfId="0" applyNumberFormat="1" applyFont="1" applyFill="1" applyBorder="1"/>
    <xf numFmtId="166" fontId="18" fillId="6" borderId="6" xfId="0" applyNumberFormat="1" applyFont="1" applyFill="1" applyBorder="1"/>
    <xf numFmtId="169" fontId="23" fillId="8" borderId="0" xfId="0" applyNumberFormat="1" applyFont="1" applyFill="1" applyAlignment="1">
      <alignment horizontal="left"/>
    </xf>
    <xf numFmtId="169" fontId="14" fillId="8" borderId="0" xfId="0" applyNumberFormat="1" applyFont="1" applyFill="1" applyAlignment="1">
      <alignment horizontal="left" indent="1"/>
    </xf>
    <xf numFmtId="169" fontId="14" fillId="8" borderId="2" xfId="0" applyNumberFormat="1" applyFont="1" applyFill="1" applyBorder="1" applyAlignment="1">
      <alignment horizontal="left" indent="1"/>
    </xf>
    <xf numFmtId="169" fontId="35" fillId="3" borderId="0" xfId="0" applyNumberFormat="1" applyFont="1" applyFill="1"/>
    <xf numFmtId="169" fontId="35" fillId="0" borderId="0" xfId="0" applyNumberFormat="1" applyFont="1" applyFill="1"/>
    <xf numFmtId="169" fontId="35" fillId="0" borderId="1" xfId="0" applyNumberFormat="1" applyFont="1" applyFill="1" applyBorder="1"/>
    <xf numFmtId="169" fontId="35" fillId="3" borderId="2" xfId="0" applyNumberFormat="1" applyFont="1" applyFill="1" applyBorder="1"/>
    <xf numFmtId="169" fontId="35" fillId="0" borderId="2" xfId="0" applyNumberFormat="1" applyFont="1" applyFill="1" applyBorder="1"/>
    <xf numFmtId="169" fontId="35" fillId="0" borderId="3" xfId="0" applyNumberFormat="1" applyFont="1" applyFill="1" applyBorder="1"/>
    <xf numFmtId="0" fontId="14" fillId="0" borderId="2" xfId="0" applyFont="1" applyBorder="1" applyAlignment="1">
      <alignment horizontal="right"/>
    </xf>
    <xf numFmtId="0" fontId="14" fillId="0" borderId="5" xfId="0" applyFont="1" applyBorder="1" applyAlignment="1">
      <alignment horizontal="right"/>
    </xf>
    <xf numFmtId="0" fontId="20" fillId="0" borderId="2" xfId="0" applyFont="1" applyBorder="1" applyAlignment="1">
      <alignment horizontal="right"/>
    </xf>
    <xf numFmtId="0" fontId="19" fillId="0" borderId="0" xfId="0" applyFont="1" applyAlignment="1">
      <alignment horizontal="right"/>
    </xf>
    <xf numFmtId="0" fontId="14" fillId="3" borderId="0" xfId="0" applyFont="1" applyFill="1"/>
    <xf numFmtId="168" fontId="14" fillId="0" borderId="0" xfId="0" applyNumberFormat="1" applyFont="1"/>
    <xf numFmtId="0" fontId="20" fillId="6" borderId="11" xfId="0" applyFont="1" applyFill="1" applyBorder="1" applyAlignment="1">
      <alignment horizontal="right"/>
    </xf>
    <xf numFmtId="0" fontId="14" fillId="6" borderId="11" xfId="0" applyFont="1" applyFill="1" applyBorder="1"/>
    <xf numFmtId="0" fontId="18" fillId="0" borderId="2" xfId="0" applyFont="1" applyBorder="1"/>
    <xf numFmtId="0" fontId="18" fillId="6" borderId="10" xfId="0" applyFont="1" applyFill="1" applyBorder="1"/>
    <xf numFmtId="167" fontId="18" fillId="3" borderId="0" xfId="0" applyNumberFormat="1" applyFont="1" applyFill="1"/>
    <xf numFmtId="0" fontId="14" fillId="6" borderId="5" xfId="0" applyFont="1" applyFill="1" applyBorder="1"/>
    <xf numFmtId="0" fontId="14" fillId="6" borderId="2" xfId="0" applyFont="1" applyFill="1" applyBorder="1"/>
    <xf numFmtId="169" fontId="18" fillId="6" borderId="5" xfId="0" applyNumberFormat="1" applyFont="1" applyFill="1" applyBorder="1"/>
    <xf numFmtId="169" fontId="18" fillId="6" borderId="6" xfId="0" applyNumberFormat="1" applyFont="1" applyFill="1" applyBorder="1"/>
    <xf numFmtId="0" fontId="14" fillId="0" borderId="0" xfId="0" applyFont="1" applyFill="1" applyBorder="1" applyAlignment="1">
      <alignment horizontal="center"/>
    </xf>
    <xf numFmtId="0" fontId="18" fillId="0" borderId="0" xfId="0" applyFont="1" applyFill="1" applyBorder="1"/>
    <xf numFmtId="0" fontId="14" fillId="0" borderId="0" xfId="0" applyFont="1" applyFill="1" applyBorder="1"/>
    <xf numFmtId="169" fontId="21" fillId="3" borderId="0" xfId="0" applyNumberFormat="1" applyFont="1" applyFill="1" applyAlignment="1"/>
    <xf numFmtId="169" fontId="23" fillId="0" borderId="0" xfId="0" applyNumberFormat="1" applyFont="1" applyFill="1"/>
    <xf numFmtId="169" fontId="23" fillId="0" borderId="1" xfId="0" applyNumberFormat="1" applyFont="1" applyFill="1" applyBorder="1"/>
    <xf numFmtId="169" fontId="23" fillId="0" borderId="0" xfId="0" applyNumberFormat="1" applyFont="1" applyFill="1" applyBorder="1"/>
    <xf numFmtId="169" fontId="26" fillId="0" borderId="1" xfId="0" applyNumberFormat="1" applyFont="1" applyFill="1" applyBorder="1"/>
    <xf numFmtId="169" fontId="26" fillId="3" borderId="2" xfId="0" applyNumberFormat="1" applyFont="1" applyFill="1" applyBorder="1"/>
    <xf numFmtId="169" fontId="26" fillId="0" borderId="2" xfId="0" applyNumberFormat="1" applyFont="1" applyFill="1" applyBorder="1"/>
    <xf numFmtId="169" fontId="26" fillId="0" borderId="3" xfId="0" applyNumberFormat="1" applyFont="1" applyFill="1" applyBorder="1"/>
    <xf numFmtId="169" fontId="0" fillId="7" borderId="0" xfId="0" applyNumberFormat="1" applyFill="1"/>
    <xf numFmtId="173" fontId="21" fillId="3" borderId="0" xfId="0" applyNumberFormat="1" applyFont="1" applyFill="1"/>
    <xf numFmtId="167" fontId="18" fillId="0" borderId="0" xfId="0" applyNumberFormat="1" applyFont="1" applyFill="1"/>
    <xf numFmtId="167" fontId="18" fillId="0" borderId="1" xfId="0" applyNumberFormat="1" applyFont="1" applyFill="1" applyBorder="1"/>
    <xf numFmtId="0" fontId="20" fillId="0" borderId="0" xfId="0" applyFont="1" applyFill="1" applyBorder="1" applyAlignment="1">
      <alignment horizontal="left" indent="1"/>
    </xf>
    <xf numFmtId="168" fontId="14" fillId="0" borderId="0" xfId="0" applyNumberFormat="1" applyFont="1" applyFill="1" applyBorder="1"/>
    <xf numFmtId="168" fontId="14" fillId="0" borderId="1" xfId="0" applyNumberFormat="1" applyFont="1" applyFill="1" applyBorder="1"/>
    <xf numFmtId="168" fontId="25" fillId="3" borderId="2" xfId="0" applyNumberFormat="1" applyFont="1" applyFill="1" applyBorder="1"/>
    <xf numFmtId="0" fontId="20" fillId="0" borderId="8" xfId="0" applyFont="1" applyFill="1" applyBorder="1" applyAlignment="1">
      <alignment horizontal="left" indent="1"/>
    </xf>
    <xf numFmtId="0" fontId="10" fillId="4" borderId="0" xfId="1"/>
    <xf numFmtId="169" fontId="14" fillId="0" borderId="0" xfId="0" applyNumberFormat="1" applyFont="1" applyBorder="1"/>
    <xf numFmtId="169" fontId="10" fillId="4" borderId="0" xfId="1" applyNumberFormat="1"/>
    <xf numFmtId="0" fontId="11" fillId="5" borderId="0" xfId="2"/>
    <xf numFmtId="169" fontId="10" fillId="4" borderId="0" xfId="1" applyNumberFormat="1" applyBorder="1"/>
    <xf numFmtId="169" fontId="14" fillId="0" borderId="0" xfId="0" applyNumberFormat="1" applyFont="1" applyAlignment="1"/>
    <xf numFmtId="169" fontId="34" fillId="9" borderId="0" xfId="4" applyNumberFormat="1" applyAlignment="1"/>
  </cellXfs>
  <cellStyles count="5">
    <cellStyle name="Bad" xfId="1" builtinId="27"/>
    <cellStyle name="Good" xfId="4" builtinId="26"/>
    <cellStyle name="Neutral" xfId="2" builtinId="28"/>
    <cellStyle name="Normal" xfId="0" builtinId="0"/>
    <cellStyle name="Percent" xfId="3" builtinId="5"/>
  </cellStyles>
  <dxfs count="0"/>
  <tableStyles count="0" defaultTableStyle="TableStyleMedium2" defaultPivotStyle="PivotStyleLight16"/>
  <colors>
    <mruColors>
      <color rgb="FF0000FF"/>
      <color rgb="FF00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60504-B8A1-4B13-91AD-0F88AF9D5CEE}">
  <dimension ref="A1:AB113"/>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defaultColWidth="9.140625" defaultRowHeight="15" outlineLevelRow="1" outlineLevelCol="1" x14ac:dyDescent="0.25"/>
  <cols>
    <col min="1" max="1" width="10.5703125" style="70" customWidth="1"/>
    <col min="2" max="2" width="59.28515625" style="71" bestFit="1" customWidth="1"/>
    <col min="3" max="3" width="9.140625" style="71"/>
    <col min="4" max="5" width="10.5703125" style="141" customWidth="1"/>
    <col min="6" max="9" width="10.5703125" style="142" customWidth="1" outlineLevel="1"/>
    <col min="10" max="10" width="10.5703125" style="141" customWidth="1"/>
    <col min="11" max="11" width="10.5703125" style="143" customWidth="1" outlineLevel="1"/>
    <col min="12" max="14" width="10.5703125" style="142" customWidth="1" outlineLevel="1"/>
    <col min="15" max="15" width="10.5703125" style="141" customWidth="1"/>
    <col min="16" max="19" width="10.5703125" style="142" customWidth="1" outlineLevel="1"/>
    <col min="20" max="23" width="10.5703125" style="141" customWidth="1"/>
    <col min="24" max="24" width="9.140625" style="144"/>
    <col min="25" max="25" width="9.5703125" style="144" bestFit="1" customWidth="1"/>
    <col min="26" max="26" width="9.140625" style="144"/>
    <col min="27" max="16384" width="9.140625" style="71"/>
  </cols>
  <sheetData>
    <row r="1" spans="1:26" x14ac:dyDescent="0.25">
      <c r="C1" s="72"/>
      <c r="D1" s="71"/>
      <c r="E1" s="71"/>
      <c r="F1" s="71"/>
      <c r="G1" s="71"/>
      <c r="H1" s="71"/>
      <c r="I1" s="71"/>
      <c r="J1" s="71"/>
      <c r="K1" s="73"/>
      <c r="L1" s="71"/>
      <c r="M1" s="71"/>
      <c r="N1" s="71"/>
      <c r="O1" s="71"/>
      <c r="P1" s="71"/>
      <c r="Q1" s="71"/>
      <c r="R1" s="71"/>
      <c r="S1" s="71"/>
      <c r="T1" s="71"/>
      <c r="U1" s="71"/>
      <c r="V1" s="71"/>
      <c r="W1" s="71"/>
      <c r="X1" s="71"/>
      <c r="Y1" s="71"/>
      <c r="Z1" s="71"/>
    </row>
    <row r="2" spans="1:26" ht="18.75" x14ac:dyDescent="0.3">
      <c r="A2" s="70" t="s">
        <v>1</v>
      </c>
      <c r="B2" s="74" t="s">
        <v>69</v>
      </c>
      <c r="C2" s="72"/>
      <c r="D2" s="71"/>
      <c r="E2" s="71"/>
      <c r="F2" s="71"/>
      <c r="G2" s="71"/>
      <c r="H2" s="71"/>
      <c r="I2" s="71"/>
      <c r="J2" s="71"/>
      <c r="K2" s="73"/>
      <c r="L2" s="71"/>
      <c r="M2" s="71"/>
      <c r="N2" s="71"/>
      <c r="O2" s="71"/>
      <c r="P2" s="71"/>
      <c r="Q2" s="71"/>
      <c r="R2" s="71"/>
      <c r="S2" s="71"/>
      <c r="T2" s="71"/>
      <c r="U2" s="71"/>
      <c r="V2" s="71"/>
      <c r="W2" s="71"/>
      <c r="X2" s="71"/>
      <c r="Y2" s="71"/>
      <c r="Z2" s="71"/>
    </row>
    <row r="3" spans="1:26" x14ac:dyDescent="0.25">
      <c r="C3" s="72"/>
      <c r="D3" s="71"/>
      <c r="E3" s="71"/>
      <c r="F3" s="71"/>
      <c r="G3" s="71"/>
      <c r="H3" s="71"/>
      <c r="I3" s="71"/>
      <c r="J3" s="71"/>
      <c r="K3" s="73"/>
      <c r="L3" s="71"/>
      <c r="M3" s="71"/>
      <c r="N3" s="71"/>
      <c r="O3" s="71"/>
      <c r="P3" s="71"/>
      <c r="Q3" s="71"/>
      <c r="R3" s="71"/>
      <c r="S3" s="71"/>
      <c r="T3" s="71"/>
      <c r="U3" s="71"/>
      <c r="V3" s="71"/>
      <c r="W3" s="71"/>
      <c r="X3" s="71"/>
      <c r="Y3" s="71"/>
      <c r="Z3" s="71"/>
    </row>
    <row r="4" spans="1:26" x14ac:dyDescent="0.25">
      <c r="C4" s="72"/>
      <c r="D4" s="71">
        <v>365</v>
      </c>
      <c r="E4" s="71">
        <v>366</v>
      </c>
      <c r="F4" s="71">
        <v>90</v>
      </c>
      <c r="G4" s="71">
        <v>91</v>
      </c>
      <c r="H4" s="71">
        <v>92</v>
      </c>
      <c r="I4" s="71">
        <v>92</v>
      </c>
      <c r="J4" s="71">
        <v>365</v>
      </c>
      <c r="K4" s="73">
        <v>90</v>
      </c>
      <c r="L4" s="71">
        <v>91</v>
      </c>
      <c r="M4" s="71">
        <v>92</v>
      </c>
      <c r="N4" s="71">
        <v>92</v>
      </c>
      <c r="O4" s="71">
        <v>365</v>
      </c>
      <c r="P4" s="71">
        <v>90</v>
      </c>
      <c r="Q4" s="71">
        <v>91</v>
      </c>
      <c r="R4" s="71">
        <v>92</v>
      </c>
      <c r="S4" s="71">
        <v>92</v>
      </c>
      <c r="T4" s="71">
        <v>365</v>
      </c>
      <c r="U4" s="71">
        <v>366</v>
      </c>
      <c r="V4" s="71">
        <v>365</v>
      </c>
      <c r="W4" s="71">
        <v>365</v>
      </c>
      <c r="X4" s="71"/>
      <c r="Y4" s="71"/>
      <c r="Z4" s="71"/>
    </row>
    <row r="5" spans="1:26" x14ac:dyDescent="0.25">
      <c r="A5" s="70" t="s">
        <v>1</v>
      </c>
      <c r="B5" s="75" t="s">
        <v>65</v>
      </c>
      <c r="C5" s="76" t="s">
        <v>2</v>
      </c>
      <c r="D5" s="77">
        <v>2023</v>
      </c>
      <c r="E5" s="77">
        <f>D5+1</f>
        <v>2024</v>
      </c>
      <c r="F5" s="78" t="s">
        <v>37</v>
      </c>
      <c r="G5" s="79" t="s">
        <v>39</v>
      </c>
      <c r="H5" s="79" t="s">
        <v>38</v>
      </c>
      <c r="I5" s="79" t="s">
        <v>40</v>
      </c>
      <c r="J5" s="77">
        <f>E5+1</f>
        <v>2025</v>
      </c>
      <c r="K5" s="78" t="s">
        <v>4</v>
      </c>
      <c r="L5" s="79" t="s">
        <v>5</v>
      </c>
      <c r="M5" s="79" t="s">
        <v>6</v>
      </c>
      <c r="N5" s="79" t="s">
        <v>7</v>
      </c>
      <c r="O5" s="80">
        <f>J5+1</f>
        <v>2026</v>
      </c>
      <c r="P5" s="78" t="s">
        <v>50</v>
      </c>
      <c r="Q5" s="79" t="s">
        <v>51</v>
      </c>
      <c r="R5" s="79" t="s">
        <v>52</v>
      </c>
      <c r="S5" s="79" t="s">
        <v>53</v>
      </c>
      <c r="T5" s="80">
        <f>O5+1</f>
        <v>2027</v>
      </c>
      <c r="U5" s="80">
        <f t="shared" ref="U5:W5" si="0">T5+1</f>
        <v>2028</v>
      </c>
      <c r="V5" s="80">
        <f t="shared" si="0"/>
        <v>2029</v>
      </c>
      <c r="W5" s="80">
        <f t="shared" si="0"/>
        <v>2030</v>
      </c>
      <c r="X5" s="71"/>
      <c r="Y5" s="71"/>
      <c r="Z5" s="71"/>
    </row>
    <row r="6" spans="1:26" ht="5.0999999999999996" customHeight="1" x14ac:dyDescent="0.25">
      <c r="D6" s="71"/>
      <c r="E6" s="71"/>
      <c r="F6" s="71"/>
      <c r="G6" s="71"/>
      <c r="H6" s="71"/>
      <c r="I6" s="71"/>
      <c r="J6" s="71"/>
      <c r="K6" s="73"/>
      <c r="L6" s="71"/>
      <c r="M6" s="71"/>
      <c r="N6" s="71"/>
      <c r="O6" s="71"/>
      <c r="P6" s="71"/>
      <c r="Q6" s="71"/>
      <c r="R6" s="71"/>
      <c r="S6" s="71"/>
      <c r="T6" s="71"/>
      <c r="U6" s="71"/>
      <c r="V6" s="71"/>
      <c r="W6" s="71"/>
      <c r="X6" s="71"/>
      <c r="Y6" s="71"/>
      <c r="Z6" s="71"/>
    </row>
    <row r="7" spans="1:26" x14ac:dyDescent="0.25">
      <c r="B7" s="71" t="s">
        <v>46</v>
      </c>
      <c r="C7" s="118" t="s">
        <v>80</v>
      </c>
      <c r="D7" s="284">
        <f>'Revenue Build'!D50</f>
        <v>521.50274058772618</v>
      </c>
      <c r="E7" s="284">
        <f>'Revenue Build'!E50</f>
        <v>628.58299999999997</v>
      </c>
      <c r="F7" s="285">
        <f>'Revenue Build'!F50</f>
        <v>146.72300000000001</v>
      </c>
      <c r="G7" s="285">
        <f>'Revenue Build'!G50</f>
        <v>155.32900000000001</v>
      </c>
      <c r="H7" s="285">
        <f>'Revenue Build'!H50</f>
        <v>161.21100000000001</v>
      </c>
      <c r="I7" s="285">
        <f>'Revenue Build'!I50</f>
        <v>150.75799999999992</v>
      </c>
      <c r="J7" s="284">
        <f>'Revenue Build'!J50</f>
        <v>614.02099999999996</v>
      </c>
      <c r="K7" s="286">
        <f>'Revenue Build'!K50</f>
        <v>152.905</v>
      </c>
      <c r="L7" s="285">
        <f>'Revenue Build'!L50</f>
        <v>151.65871540656408</v>
      </c>
      <c r="M7" s="285">
        <f>'Revenue Build'!M50</f>
        <v>160.22161019926423</v>
      </c>
      <c r="N7" s="285">
        <f>'Revenue Build'!N50</f>
        <v>161.64840272008701</v>
      </c>
      <c r="O7" s="284">
        <f>'Revenue Build'!O50</f>
        <v>626.43372832591535</v>
      </c>
      <c r="P7" s="285">
        <f>'Revenue Build'!P50</f>
        <v>157.26489769416594</v>
      </c>
      <c r="Q7" s="285">
        <f>'Revenue Build'!Q50</f>
        <v>163.36067142271145</v>
      </c>
      <c r="R7" s="285">
        <f>'Revenue Build'!R50</f>
        <v>171.82344005383746</v>
      </c>
      <c r="S7" s="285">
        <f>'Revenue Build'!S50</f>
        <v>172.93353508293947</v>
      </c>
      <c r="T7" s="284">
        <f>'Revenue Build'!T50</f>
        <v>665.38254425365426</v>
      </c>
      <c r="U7" s="284">
        <f>'Revenue Build'!U50</f>
        <v>704.50083352467811</v>
      </c>
      <c r="V7" s="284">
        <f>'Revenue Build'!V50</f>
        <v>748.88583127868753</v>
      </c>
      <c r="W7" s="284">
        <f>'Revenue Build'!W50</f>
        <v>789.55240145613004</v>
      </c>
    </row>
    <row r="8" spans="1:26" x14ac:dyDescent="0.25">
      <c r="B8" s="71" t="s">
        <v>47</v>
      </c>
      <c r="C8" s="118" t="s">
        <v>80</v>
      </c>
      <c r="D8" s="284">
        <f>'Revenue Build'!D53</f>
        <v>803.28445450292077</v>
      </c>
      <c r="E8" s="284">
        <f>'Revenue Build'!E53</f>
        <v>897.31100000000004</v>
      </c>
      <c r="F8" s="285">
        <f>'Revenue Build'!F53</f>
        <v>223.255</v>
      </c>
      <c r="G8" s="285">
        <f>'Revenue Build'!G53</f>
        <v>244.84399999999999</v>
      </c>
      <c r="H8" s="285">
        <f>'Revenue Build'!H53</f>
        <v>254.166</v>
      </c>
      <c r="I8" s="285">
        <f>'Revenue Build'!I53</f>
        <v>258.84000000000003</v>
      </c>
      <c r="J8" s="284">
        <f>'Revenue Build'!J53</f>
        <v>981.10500000000002</v>
      </c>
      <c r="K8" s="286">
        <f>'Revenue Build'!K53</f>
        <v>283.73200000000003</v>
      </c>
      <c r="L8" s="285">
        <f>'Revenue Build'!L53</f>
        <v>281.65190004076186</v>
      </c>
      <c r="M8" s="285">
        <f>'Revenue Build'!M53</f>
        <v>297.55441894149067</v>
      </c>
      <c r="N8" s="285">
        <f>'Revenue Build'!N53</f>
        <v>300.20417648016155</v>
      </c>
      <c r="O8" s="284">
        <f>'Revenue Build'!O53</f>
        <v>1163.142495462414</v>
      </c>
      <c r="P8" s="285">
        <f>'Revenue Build'!P53</f>
        <v>292.00452862184437</v>
      </c>
      <c r="Q8" s="285">
        <f>'Revenue Build'!Q53</f>
        <v>303.32297005593296</v>
      </c>
      <c r="R8" s="285">
        <f>'Revenue Build'!R53</f>
        <v>319.03637337224944</v>
      </c>
      <c r="S8" s="285">
        <f>'Revenue Build'!S53</f>
        <v>321.09756299848607</v>
      </c>
      <c r="T8" s="284">
        <f>'Revenue Build'!T53</f>
        <v>1235.4614350485131</v>
      </c>
      <c r="U8" s="284">
        <f>'Revenue Build'!U53</f>
        <v>1308.0950474220265</v>
      </c>
      <c r="V8" s="284">
        <f>'Revenue Build'!V53</f>
        <v>1390.5077188895382</v>
      </c>
      <c r="W8" s="284">
        <f>'Revenue Build'!W53</f>
        <v>1466.0161306803516</v>
      </c>
    </row>
    <row r="9" spans="1:26" x14ac:dyDescent="0.25">
      <c r="B9" s="167" t="s">
        <v>48</v>
      </c>
      <c r="C9" s="118" t="s">
        <v>80</v>
      </c>
      <c r="D9" s="284">
        <f>'Revenue Build'!D56</f>
        <v>-483.40158649720019</v>
      </c>
      <c r="E9" s="284">
        <f>'Revenue Build'!E56</f>
        <v>-523.44000000000005</v>
      </c>
      <c r="F9" s="285">
        <f>'Revenue Build'!F56</f>
        <v>-130.208</v>
      </c>
      <c r="G9" s="285">
        <f>'Revenue Build'!G56</f>
        <v>-140.554</v>
      </c>
      <c r="H9" s="285">
        <f>'Revenue Build'!H56</f>
        <v>-150.066</v>
      </c>
      <c r="I9" s="285">
        <f>'Revenue Build'!I56</f>
        <v>-152.28399999999999</v>
      </c>
      <c r="J9" s="284">
        <f>'Revenue Build'!J56</f>
        <v>-573.11199999999997</v>
      </c>
      <c r="K9" s="286">
        <f>'Revenue Build'!K56</f>
        <v>-170.10599999999999</v>
      </c>
      <c r="L9" s="285">
        <f>'Revenue Build'!L56</f>
        <v>-170.10599999999999</v>
      </c>
      <c r="M9" s="285">
        <f>'Revenue Build'!M56</f>
        <v>-170.10599999999999</v>
      </c>
      <c r="N9" s="285">
        <f>'Revenue Build'!N56</f>
        <v>-170.10599999999999</v>
      </c>
      <c r="O9" s="284">
        <f>'Revenue Build'!O56</f>
        <v>-680.42399999999998</v>
      </c>
      <c r="P9" s="285">
        <f>'Revenue Build'!P56</f>
        <v>-180.10599999999999</v>
      </c>
      <c r="Q9" s="285">
        <f>'Revenue Build'!Q56</f>
        <v>-180.10599999999999</v>
      </c>
      <c r="R9" s="285">
        <f>'Revenue Build'!R56</f>
        <v>-180.10599999999999</v>
      </c>
      <c r="S9" s="285">
        <f>'Revenue Build'!S56</f>
        <v>-180.10599999999999</v>
      </c>
      <c r="T9" s="284">
        <f>'Revenue Build'!T56</f>
        <v>-720.42399999999998</v>
      </c>
      <c r="U9" s="284">
        <f>'Revenue Build'!U56</f>
        <v>-760.42399999999998</v>
      </c>
      <c r="V9" s="284">
        <f>'Revenue Build'!V56</f>
        <v>-800.42399999999998</v>
      </c>
      <c r="W9" s="284">
        <f>'Revenue Build'!W56</f>
        <v>-840.42399999999998</v>
      </c>
    </row>
    <row r="10" spans="1:26" x14ac:dyDescent="0.25">
      <c r="B10" s="167" t="s">
        <v>49</v>
      </c>
      <c r="C10" s="118" t="s">
        <v>80</v>
      </c>
      <c r="D10" s="284">
        <f>'Revenue Build'!D57</f>
        <v>-430.67053152331522</v>
      </c>
      <c r="E10" s="284">
        <f>'Revenue Build'!E57</f>
        <v>-553.32399999999996</v>
      </c>
      <c r="F10" s="285">
        <f>'Revenue Build'!F57</f>
        <v>-128.214</v>
      </c>
      <c r="G10" s="285">
        <f>'Revenue Build'!G57</f>
        <v>-132.53700000000001</v>
      </c>
      <c r="H10" s="285">
        <f>'Revenue Build'!H57</f>
        <v>-135.10300000000001</v>
      </c>
      <c r="I10" s="285">
        <f>'Revenue Build'!I57</f>
        <v>-127.84300000000002</v>
      </c>
      <c r="J10" s="284">
        <f>'Revenue Build'!J57</f>
        <v>-523.697</v>
      </c>
      <c r="K10" s="286">
        <f>'Revenue Build'!K57</f>
        <v>-129.01300000000001</v>
      </c>
      <c r="L10" s="285">
        <f>'Revenue Build'!L57</f>
        <v>-138.96393419798969</v>
      </c>
      <c r="M10" s="285">
        <f>'Revenue Build'!M57</f>
        <v>-146.06402028333699</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-157.56944281139019</v>
      </c>
      <c r="T10" s="284">
        <f>'Revenue Build'!T57</f>
        <v>-606.26735412648566</v>
      </c>
      <c r="U10" s="284">
        <f>'Revenue Build'!U57</f>
        <v>-641.91022143509508</v>
      </c>
      <c r="V10" s="284">
        <f>'Revenue Build'!V57</f>
        <v>-682.35188222650766</v>
      </c>
      <c r="W10" s="284">
        <f>'Revenue Build'!W57</f>
        <v>-719.40547510446913</v>
      </c>
    </row>
    <row r="11" spans="1:26" x14ac:dyDescent="0.25">
      <c r="B11" s="71" t="s">
        <v>66</v>
      </c>
      <c r="C11" s="118" t="s">
        <v>80</v>
      </c>
      <c r="D11" s="141">
        <f>SUM(D7:D10)</f>
        <v>410.71507707013149</v>
      </c>
      <c r="E11" s="141">
        <f t="shared" ref="E11:W11" si="1">SUM(E7:E10)</f>
        <v>449.13</v>
      </c>
      <c r="F11" s="142">
        <f t="shared" si="1"/>
        <v>111.55600000000001</v>
      </c>
      <c r="G11" s="142">
        <f t="shared" si="1"/>
        <v>127.08200000000002</v>
      </c>
      <c r="H11" s="142">
        <f t="shared" si="1"/>
        <v>130.20800000000003</v>
      </c>
      <c r="I11" s="142">
        <f t="shared" si="1"/>
        <v>129.47099999999995</v>
      </c>
      <c r="J11" s="141">
        <f t="shared" si="1"/>
        <v>498.31700000000001</v>
      </c>
      <c r="K11" s="143">
        <f t="shared" si="1"/>
        <v>137.51800000000006</v>
      </c>
      <c r="L11" s="142">
        <f t="shared" si="1"/>
        <v>124.24068124933629</v>
      </c>
      <c r="M11" s="142">
        <f t="shared" si="1"/>
        <v>141.60600885741789</v>
      </c>
      <c r="N11" s="142">
        <f t="shared" si="1"/>
        <v>144.38184142042414</v>
      </c>
      <c r="O11" s="141">
        <f t="shared" si="1"/>
        <v>547.74653152717826</v>
      </c>
      <c r="P11" s="142">
        <f t="shared" si="1"/>
        <v>125.87055780687254</v>
      </c>
      <c r="Q11" s="142">
        <f t="shared" si="1"/>
        <v>137.73057164325397</v>
      </c>
      <c r="R11" s="142">
        <f t="shared" si="1"/>
        <v>154.19584045551971</v>
      </c>
      <c r="S11" s="142">
        <f t="shared" si="1"/>
        <v>156.35565527003533</v>
      </c>
      <c r="T11" s="141">
        <f t="shared" si="1"/>
        <v>574.15262517568169</v>
      </c>
      <c r="U11" s="141">
        <f t="shared" si="1"/>
        <v>610.26165951160965</v>
      </c>
      <c r="V11" s="141">
        <f t="shared" si="1"/>
        <v>656.6176679417182</v>
      </c>
      <c r="W11" s="141">
        <f t="shared" si="1"/>
        <v>695.73905703201262</v>
      </c>
    </row>
    <row r="12" spans="1:26" ht="5.0999999999999996" customHeight="1" x14ac:dyDescent="0.25">
      <c r="C12" s="72"/>
    </row>
    <row r="13" spans="1:26" x14ac:dyDescent="0.25">
      <c r="B13" s="71" t="s">
        <v>68</v>
      </c>
      <c r="C13" s="118" t="s">
        <v>80</v>
      </c>
      <c r="D13" s="284">
        <f>'Revenue Build'!D27</f>
        <v>502.43179176291528</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622.85200000000009</v>
      </c>
      <c r="K13" s="286">
        <f>'Revenue Build'!K27</f>
        <v>162.125</v>
      </c>
      <c r="L13" s="285">
        <f>'Revenue Build'!L27</f>
        <v>168.45724396289026</v>
      </c>
      <c r="M13" s="285">
        <f>'Revenue Build'!M27</f>
        <v>174.39249941226427</v>
      </c>
      <c r="N13" s="285">
        <f>'Revenue Build'!N27</f>
        <v>176.09542052097999</v>
      </c>
      <c r="O13" s="284">
        <f>'Revenue Build'!O27</f>
        <v>681.07016389613455</v>
      </c>
      <c r="P13" s="285">
        <f>'Revenue Build'!P27</f>
        <v>176.26842664556972</v>
      </c>
      <c r="Q13" s="285">
        <f>'Revenue Build'!Q27</f>
        <v>185.93077850079686</v>
      </c>
      <c r="R13" s="285">
        <f>'Revenue Build'!R27</f>
        <v>193.55419908482514</v>
      </c>
      <c r="S13" s="285">
        <f>'Revenue Build'!S27</f>
        <v>193.07174898282219</v>
      </c>
      <c r="T13" s="284">
        <f>'Revenue Build'!T27</f>
        <v>755.94275873139497</v>
      </c>
      <c r="U13" s="284">
        <f>'Revenue Build'!U27</f>
        <v>841.29633348315804</v>
      </c>
      <c r="V13" s="284">
        <f>'Revenue Build'!V27</f>
        <v>927.01754594462204</v>
      </c>
      <c r="W13" s="284">
        <f>'Revenue Build'!W27</f>
        <v>1011.2991674188288</v>
      </c>
    </row>
    <row r="14" spans="1:26" ht="5.0999999999999996" customHeight="1" x14ac:dyDescent="0.25">
      <c r="C14" s="72"/>
      <c r="D14" s="284"/>
      <c r="E14" s="284"/>
      <c r="F14" s="285"/>
      <c r="G14" s="285"/>
      <c r="H14" s="285"/>
      <c r="I14" s="285"/>
      <c r="J14" s="284"/>
      <c r="K14" s="286"/>
      <c r="L14" s="285"/>
      <c r="M14" s="285"/>
      <c r="N14" s="285"/>
      <c r="O14" s="284"/>
      <c r="P14" s="285"/>
      <c r="Q14" s="285"/>
      <c r="R14" s="285"/>
      <c r="S14" s="285"/>
      <c r="T14" s="284"/>
      <c r="U14" s="284"/>
      <c r="V14" s="284"/>
      <c r="W14" s="284"/>
    </row>
    <row r="15" spans="1:26" x14ac:dyDescent="0.25">
      <c r="B15" s="251" t="s">
        <v>63</v>
      </c>
      <c r="C15" s="292" t="s">
        <v>80</v>
      </c>
      <c r="D15" s="287">
        <f>'Revenue Build'!D64</f>
        <v>45.553521445156186</v>
      </c>
      <c r="E15" s="287">
        <f>'Revenue Build'!E64</f>
        <v>42.89</v>
      </c>
      <c r="F15" s="288">
        <f>'Revenue Build'!F64</f>
        <v>11.632999999999999</v>
      </c>
      <c r="G15" s="288">
        <f>'Revenue Build'!G64</f>
        <v>11.608000000000001</v>
      </c>
      <c r="H15" s="288">
        <f>'Revenue Build'!H64</f>
        <v>20.012</v>
      </c>
      <c r="I15" s="288">
        <f>'Revenue Build'!I64</f>
        <v>21.087999999999994</v>
      </c>
      <c r="J15" s="287">
        <f>'Revenue Build'!J64</f>
        <v>64.340999999999994</v>
      </c>
      <c r="K15" s="289">
        <f>'Revenue Build'!K64</f>
        <v>23.873000000000001</v>
      </c>
      <c r="L15" s="288">
        <f>'Revenue Build'!L64</f>
        <v>20</v>
      </c>
      <c r="M15" s="288">
        <f>'Revenue Build'!M64</f>
        <v>20</v>
      </c>
      <c r="N15" s="288">
        <f>'Revenue Build'!N64</f>
        <v>20</v>
      </c>
      <c r="O15" s="287">
        <f>'Revenue Build'!O64</f>
        <v>83.873000000000005</v>
      </c>
      <c r="P15" s="288">
        <f>'Revenue Build'!P64</f>
        <v>20</v>
      </c>
      <c r="Q15" s="288">
        <f>'Revenue Build'!Q64</f>
        <v>20</v>
      </c>
      <c r="R15" s="288">
        <f>'Revenue Build'!R64</f>
        <v>20</v>
      </c>
      <c r="S15" s="288">
        <f>'Revenue Build'!S64</f>
        <v>20</v>
      </c>
      <c r="T15" s="287">
        <f>'Revenue Build'!T64</f>
        <v>80</v>
      </c>
      <c r="U15" s="287">
        <f>'Revenue Build'!U64</f>
        <v>80</v>
      </c>
      <c r="V15" s="287">
        <f>'Revenue Build'!V64</f>
        <v>80</v>
      </c>
      <c r="W15" s="287">
        <f>'Revenue Build'!W64</f>
        <v>80</v>
      </c>
    </row>
    <row r="16" spans="1:26" ht="5.0999999999999996" customHeight="1" x14ac:dyDescent="0.25">
      <c r="C16" s="72"/>
    </row>
    <row r="17" spans="1:23" x14ac:dyDescent="0.25">
      <c r="A17" s="70" t="s">
        <v>1</v>
      </c>
      <c r="B17" s="158" t="s">
        <v>64</v>
      </c>
      <c r="C17" s="293" t="s">
        <v>80</v>
      </c>
      <c r="D17" s="195">
        <f>D15+D13+D11</f>
        <v>958.70039027820303</v>
      </c>
      <c r="E17" s="195">
        <f t="shared" ref="E17:W17" si="2">E15+E13+E11</f>
        <v>1087.56</v>
      </c>
      <c r="F17" s="196">
        <f t="shared" si="2"/>
        <v>275.67100000000005</v>
      </c>
      <c r="G17" s="196">
        <f t="shared" si="2"/>
        <v>290.02600000000001</v>
      </c>
      <c r="H17" s="196">
        <f t="shared" si="2"/>
        <v>306.39000000000004</v>
      </c>
      <c r="I17" s="196">
        <f t="shared" si="2"/>
        <v>313.423</v>
      </c>
      <c r="J17" s="195">
        <f t="shared" si="2"/>
        <v>1185.5100000000002</v>
      </c>
      <c r="K17" s="197">
        <f t="shared" si="2"/>
        <v>323.51600000000008</v>
      </c>
      <c r="L17" s="196">
        <f t="shared" si="2"/>
        <v>312.69792521222655</v>
      </c>
      <c r="M17" s="196">
        <f t="shared" si="2"/>
        <v>335.99850826968213</v>
      </c>
      <c r="N17" s="196">
        <f t="shared" si="2"/>
        <v>340.47726194140409</v>
      </c>
      <c r="O17" s="195">
        <f t="shared" si="2"/>
        <v>1312.689695423313</v>
      </c>
      <c r="P17" s="196">
        <f t="shared" si="2"/>
        <v>322.13898445244229</v>
      </c>
      <c r="Q17" s="196">
        <f t="shared" si="2"/>
        <v>343.66135014405086</v>
      </c>
      <c r="R17" s="196">
        <f t="shared" si="2"/>
        <v>367.75003954034486</v>
      </c>
      <c r="S17" s="196">
        <f t="shared" si="2"/>
        <v>369.42740425285751</v>
      </c>
      <c r="T17" s="195">
        <f t="shared" si="2"/>
        <v>1410.0953839070767</v>
      </c>
      <c r="U17" s="195">
        <f t="shared" si="2"/>
        <v>1531.5579929947676</v>
      </c>
      <c r="V17" s="195">
        <f t="shared" si="2"/>
        <v>1663.6352138863404</v>
      </c>
      <c r="W17" s="195">
        <f t="shared" si="2"/>
        <v>1787.0382244508414</v>
      </c>
    </row>
    <row r="18" spans="1:23" x14ac:dyDescent="0.25">
      <c r="B18" s="253" t="s">
        <v>9</v>
      </c>
      <c r="C18" s="290" t="s">
        <v>76</v>
      </c>
      <c r="D18" s="271">
        <v>0</v>
      </c>
      <c r="E18" s="261">
        <f>E17/D17-1</f>
        <v>0.13441072000023224</v>
      </c>
      <c r="F18" s="260">
        <v>0</v>
      </c>
      <c r="G18" s="260">
        <v>0</v>
      </c>
      <c r="H18" s="260">
        <v>0</v>
      </c>
      <c r="I18" s="260">
        <v>0</v>
      </c>
      <c r="J18" s="261">
        <f>J17/E17-1</f>
        <v>9.0063996469160523E-2</v>
      </c>
      <c r="K18" s="267">
        <f>K17/F17-1</f>
        <v>0.17355833584236291</v>
      </c>
      <c r="L18" s="260">
        <f t="shared" ref="L18:N18" si="3">L17/G17-1</f>
        <v>7.8172043927877244E-2</v>
      </c>
      <c r="M18" s="260">
        <f t="shared" si="3"/>
        <v>9.6636666567714524E-2</v>
      </c>
      <c r="N18" s="260">
        <f t="shared" si="3"/>
        <v>8.6318687337572753E-2</v>
      </c>
      <c r="O18" s="261">
        <f>O17/J17-1</f>
        <v>0.10727846700855559</v>
      </c>
      <c r="P18" s="260">
        <f t="shared" ref="P18:S18" si="4">P17/K17-1</f>
        <v>-4.2564063216589121E-3</v>
      </c>
      <c r="Q18" s="260">
        <f t="shared" si="4"/>
        <v>9.9020244252690848E-2</v>
      </c>
      <c r="R18" s="260">
        <f t="shared" si="4"/>
        <v>9.4499024517031627E-2</v>
      </c>
      <c r="S18" s="260">
        <f t="shared" si="4"/>
        <v>8.5028122425502062E-2</v>
      </c>
      <c r="T18" s="261">
        <f>T17/O17-1</f>
        <v>7.4203133324934445E-2</v>
      </c>
      <c r="U18" s="261">
        <f t="shared" ref="U18:W18" si="5">U17/T17-1</f>
        <v>8.6137867320112527E-2</v>
      </c>
      <c r="V18" s="261">
        <f t="shared" si="5"/>
        <v>8.6237166007218979E-2</v>
      </c>
      <c r="W18" s="261">
        <f t="shared" si="5"/>
        <v>7.4176724280934803E-2</v>
      </c>
    </row>
    <row r="19" spans="1:23" ht="5.0999999999999996" customHeight="1" x14ac:dyDescent="0.25">
      <c r="B19" s="252"/>
      <c r="C19" s="72"/>
    </row>
    <row r="20" spans="1:23" x14ac:dyDescent="0.25">
      <c r="B20" s="255" t="s">
        <v>70</v>
      </c>
      <c r="C20" s="118" t="s">
        <v>80</v>
      </c>
      <c r="D20" s="180">
        <v>271.71953640247682</v>
      </c>
      <c r="E20" s="180">
        <v>303.60199999999998</v>
      </c>
      <c r="F20" s="181">
        <v>74.884</v>
      </c>
      <c r="G20" s="181">
        <v>73.94</v>
      </c>
      <c r="H20" s="181">
        <v>78.385999999999996</v>
      </c>
      <c r="I20" s="181">
        <v>89.013000000000005</v>
      </c>
      <c r="J20" s="202">
        <f>SUM(F20:I20)</f>
        <v>316.22300000000001</v>
      </c>
      <c r="K20" s="269">
        <v>94.070999999999998</v>
      </c>
      <c r="L20" s="142">
        <f>L17*L21</f>
        <v>81.301460555178906</v>
      </c>
      <c r="M20" s="142">
        <f t="shared" ref="M20:N20" si="6">M17*M21</f>
        <v>87.359612150117357</v>
      </c>
      <c r="N20" s="142">
        <f t="shared" si="6"/>
        <v>88.52408810476507</v>
      </c>
      <c r="O20" s="202">
        <f>SUM(K20:N20)</f>
        <v>351.25616081006137</v>
      </c>
      <c r="P20" s="142">
        <f>P17*P21</f>
        <v>83.756135957634996</v>
      </c>
      <c r="Q20" s="142">
        <f>Q17*Q21</f>
        <v>89.351951037453219</v>
      </c>
      <c r="R20" s="142">
        <f t="shared" ref="R20" si="7">R17*R21</f>
        <v>95.61501028048967</v>
      </c>
      <c r="S20" s="142">
        <f t="shared" ref="S20" si="8">S17*S21</f>
        <v>96.051125105742955</v>
      </c>
      <c r="T20" s="202">
        <f>SUM(P20:S20)</f>
        <v>364.7742223813209</v>
      </c>
      <c r="U20" s="141">
        <f>U17*U21</f>
        <v>396.19509595060032</v>
      </c>
      <c r="V20" s="141">
        <f t="shared" ref="V20:W20" si="9">V17*V21</f>
        <v>430.36183821133824</v>
      </c>
      <c r="W20" s="141">
        <f t="shared" si="9"/>
        <v>462.28466962537698</v>
      </c>
    </row>
    <row r="21" spans="1:23" x14ac:dyDescent="0.25">
      <c r="B21" s="256" t="s">
        <v>75</v>
      </c>
      <c r="C21" s="72" t="s">
        <v>76</v>
      </c>
      <c r="D21" s="259">
        <f>D20/D17</f>
        <v>0.28342487304467162</v>
      </c>
      <c r="E21" s="259">
        <f t="shared" ref="E21:K21" si="10">E20/E17</f>
        <v>0.27915885100592153</v>
      </c>
      <c r="F21" s="258">
        <f t="shared" si="10"/>
        <v>0.27164264648802372</v>
      </c>
      <c r="G21" s="258">
        <f t="shared" si="10"/>
        <v>0.25494266031321328</v>
      </c>
      <c r="H21" s="258">
        <f t="shared" si="10"/>
        <v>0.2558373315055974</v>
      </c>
      <c r="I21" s="258">
        <f t="shared" si="10"/>
        <v>0.28400276942024039</v>
      </c>
      <c r="J21" s="259">
        <f t="shared" si="10"/>
        <v>0.26674005280427832</v>
      </c>
      <c r="K21" s="145">
        <f t="shared" si="10"/>
        <v>0.2907769631177437</v>
      </c>
      <c r="L21" s="146">
        <v>0.26</v>
      </c>
      <c r="M21" s="258">
        <f>L21</f>
        <v>0.26</v>
      </c>
      <c r="N21" s="241">
        <f>M21</f>
        <v>0.26</v>
      </c>
      <c r="O21" s="259">
        <f t="shared" ref="O21" si="11">O20/O17</f>
        <v>0.26758506754087769</v>
      </c>
      <c r="P21" s="258">
        <f>L21</f>
        <v>0.26</v>
      </c>
      <c r="Q21" s="258">
        <f>L21</f>
        <v>0.26</v>
      </c>
      <c r="R21" s="258">
        <f>M21</f>
        <v>0.26</v>
      </c>
      <c r="S21" s="258">
        <f>N21</f>
        <v>0.26</v>
      </c>
      <c r="T21" s="259">
        <f t="shared" ref="T21" si="12">T20/T17</f>
        <v>0.25868762251430716</v>
      </c>
      <c r="U21" s="259">
        <f>T21</f>
        <v>0.25868762251430716</v>
      </c>
      <c r="V21" s="259">
        <f t="shared" ref="V21:W21" si="13">U21</f>
        <v>0.25868762251430716</v>
      </c>
      <c r="W21" s="259">
        <f t="shared" si="13"/>
        <v>0.25868762251430716</v>
      </c>
    </row>
    <row r="22" spans="1:23" ht="5.0999999999999996" customHeight="1" x14ac:dyDescent="0.25">
      <c r="B22" s="256"/>
      <c r="C22" s="72"/>
      <c r="D22" s="259"/>
      <c r="E22" s="259"/>
      <c r="F22" s="258"/>
      <c r="G22" s="258"/>
      <c r="H22" s="258"/>
      <c r="I22" s="258"/>
      <c r="J22" s="259"/>
      <c r="K22" s="145"/>
      <c r="L22" s="258"/>
      <c r="M22" s="258"/>
      <c r="N22" s="258"/>
      <c r="O22" s="259"/>
      <c r="P22" s="258"/>
      <c r="Q22" s="258"/>
      <c r="R22" s="258"/>
      <c r="S22" s="258"/>
      <c r="T22" s="259"/>
      <c r="U22" s="259"/>
      <c r="V22" s="259"/>
      <c r="W22" s="259"/>
    </row>
    <row r="23" spans="1:23" x14ac:dyDescent="0.25">
      <c r="B23" s="255" t="s">
        <v>71</v>
      </c>
      <c r="C23" s="118" t="s">
        <v>80</v>
      </c>
      <c r="D23" s="180">
        <v>119.0571244300932</v>
      </c>
      <c r="E23" s="180">
        <v>136.70599999999999</v>
      </c>
      <c r="F23" s="181">
        <v>34.167000000000002</v>
      </c>
      <c r="G23" s="181">
        <v>37.920999999999999</v>
      </c>
      <c r="H23" s="181">
        <v>35.594000000000001</v>
      </c>
      <c r="I23" s="181">
        <v>45.162000000000006</v>
      </c>
      <c r="J23" s="202">
        <f>SUM(F23:I23)</f>
        <v>152.84399999999999</v>
      </c>
      <c r="K23" s="269">
        <v>37.039000000000001</v>
      </c>
      <c r="L23" s="268">
        <f>L17*L24</f>
        <v>37.523751025467185</v>
      </c>
      <c r="M23" s="268">
        <f t="shared" ref="M23:N23" si="14">M17*M24</f>
        <v>40.319820992361855</v>
      </c>
      <c r="N23" s="268">
        <f t="shared" si="14"/>
        <v>40.857271432968489</v>
      </c>
      <c r="O23" s="202">
        <f>SUM(K23:N23)</f>
        <v>155.73984345079754</v>
      </c>
      <c r="P23" s="268">
        <f>P17*P24</f>
        <v>38.656678134293074</v>
      </c>
      <c r="Q23" s="268">
        <f>Q17*Q24</f>
        <v>41.239362017286105</v>
      </c>
      <c r="R23" s="268">
        <f t="shared" ref="R23" si="15">R17*R24</f>
        <v>44.130004744841379</v>
      </c>
      <c r="S23" s="268">
        <f t="shared" ref="S23" si="16">S17*S24</f>
        <v>44.331288510342901</v>
      </c>
      <c r="T23" s="202">
        <f>SUM(P23:S23)</f>
        <v>168.35733340676347</v>
      </c>
      <c r="U23" s="202">
        <f>T23</f>
        <v>168.35733340676347</v>
      </c>
      <c r="V23" s="202">
        <f t="shared" ref="V23:W23" si="17">U23</f>
        <v>168.35733340676347</v>
      </c>
      <c r="W23" s="202">
        <f t="shared" si="17"/>
        <v>168.35733340676347</v>
      </c>
    </row>
    <row r="24" spans="1:23" x14ac:dyDescent="0.25">
      <c r="B24" s="256" t="s">
        <v>75</v>
      </c>
      <c r="C24" s="72" t="s">
        <v>76</v>
      </c>
      <c r="D24" s="259">
        <f>D23/D17</f>
        <v>0.1241859559434875</v>
      </c>
      <c r="E24" s="259">
        <f t="shared" ref="E24:K24" si="18">E23/E17</f>
        <v>0.12569973150906616</v>
      </c>
      <c r="F24" s="258">
        <f t="shared" si="18"/>
        <v>0.1239412197873552</v>
      </c>
      <c r="G24" s="258">
        <f t="shared" si="18"/>
        <v>0.13075034652065676</v>
      </c>
      <c r="H24" s="258">
        <f t="shared" si="18"/>
        <v>0.11617219883155454</v>
      </c>
      <c r="I24" s="258">
        <f t="shared" si="18"/>
        <v>0.14409280748381581</v>
      </c>
      <c r="J24" s="259">
        <f t="shared" si="18"/>
        <v>0.12892679100134116</v>
      </c>
      <c r="K24" s="145">
        <f t="shared" si="18"/>
        <v>0.11448892790464767</v>
      </c>
      <c r="L24" s="146">
        <v>0.12</v>
      </c>
      <c r="M24" s="258">
        <f>L24</f>
        <v>0.12</v>
      </c>
      <c r="N24" s="241">
        <f>M24</f>
        <v>0.12</v>
      </c>
      <c r="O24" s="259">
        <f>O23/O17</f>
        <v>0.11864178106507869</v>
      </c>
      <c r="P24" s="258">
        <f>L24</f>
        <v>0.12</v>
      </c>
      <c r="Q24" s="258">
        <f>L24</f>
        <v>0.12</v>
      </c>
      <c r="R24" s="258">
        <f>M24</f>
        <v>0.12</v>
      </c>
      <c r="S24" s="258">
        <f>N24</f>
        <v>0.12</v>
      </c>
      <c r="T24" s="259">
        <f>T23/T17</f>
        <v>0.11939428731429561</v>
      </c>
      <c r="U24" s="259">
        <f>T24</f>
        <v>0.11939428731429561</v>
      </c>
      <c r="V24" s="259">
        <f t="shared" ref="V24:W24" si="19">U24</f>
        <v>0.11939428731429561</v>
      </c>
      <c r="W24" s="259">
        <f t="shared" si="19"/>
        <v>0.11939428731429561</v>
      </c>
    </row>
    <row r="25" spans="1:23" ht="5.0999999999999996" customHeight="1" x14ac:dyDescent="0.25">
      <c r="B25" s="256"/>
      <c r="C25" s="72"/>
      <c r="D25" s="259"/>
      <c r="E25" s="259"/>
      <c r="F25" s="258"/>
      <c r="G25" s="258"/>
      <c r="H25" s="258"/>
      <c r="I25" s="258"/>
      <c r="J25" s="259"/>
      <c r="K25" s="145"/>
      <c r="L25" s="258"/>
      <c r="M25" s="258"/>
      <c r="N25" s="258"/>
      <c r="O25" s="259"/>
      <c r="P25" s="258"/>
      <c r="Q25" s="258"/>
      <c r="R25" s="258"/>
      <c r="S25" s="258"/>
      <c r="T25" s="259"/>
      <c r="U25" s="259"/>
      <c r="V25" s="259"/>
      <c r="W25" s="259"/>
    </row>
    <row r="26" spans="1:23" x14ac:dyDescent="0.25">
      <c r="B26" s="255" t="s">
        <v>72</v>
      </c>
      <c r="C26" s="118" t="s">
        <v>80</v>
      </c>
      <c r="D26" s="180">
        <v>51.336884460821935</v>
      </c>
      <c r="E26" s="180">
        <v>59.420999999999999</v>
      </c>
      <c r="F26" s="181">
        <v>15.773</v>
      </c>
      <c r="G26" s="181">
        <v>16.315000000000001</v>
      </c>
      <c r="H26" s="181">
        <v>16.75</v>
      </c>
      <c r="I26" s="181">
        <v>71.266999999999996</v>
      </c>
      <c r="J26" s="202">
        <f>SUM(F26:I26)</f>
        <v>120.10499999999999</v>
      </c>
      <c r="K26" s="269">
        <v>17.027000000000001</v>
      </c>
      <c r="L26" s="142">
        <f>L17*L27</f>
        <v>17.198385886672462</v>
      </c>
      <c r="M26" s="142">
        <f t="shared" ref="M26:N26" si="20">M17*M27</f>
        <v>18.479917954832519</v>
      </c>
      <c r="N26" s="142">
        <f t="shared" si="20"/>
        <v>18.726249406777224</v>
      </c>
      <c r="O26" s="202">
        <f>SUM(K26:N26)</f>
        <v>71.431553248282214</v>
      </c>
      <c r="P26" s="142">
        <f>P17*P27</f>
        <v>17.717644144884325</v>
      </c>
      <c r="Q26" s="142">
        <f>Q17*Q27</f>
        <v>18.901374257922797</v>
      </c>
      <c r="R26" s="142">
        <f t="shared" ref="R26" si="21">R17*R27</f>
        <v>20.226252174718969</v>
      </c>
      <c r="S26" s="142">
        <f t="shared" ref="S26" si="22">S17*S27</f>
        <v>20.318507233907162</v>
      </c>
      <c r="T26" s="202">
        <f>SUM(P26:S26)</f>
        <v>77.163777811433249</v>
      </c>
      <c r="U26" s="202">
        <f>U17*U27</f>
        <v>83.810501066473122</v>
      </c>
      <c r="V26" s="202">
        <f t="shared" ref="V26:W26" si="23">V17*V27</f>
        <v>91.038081160090769</v>
      </c>
      <c r="W26" s="202">
        <f t="shared" si="23"/>
        <v>97.790987805368189</v>
      </c>
    </row>
    <row r="27" spans="1:23" x14ac:dyDescent="0.25">
      <c r="B27" s="256" t="s">
        <v>75</v>
      </c>
      <c r="C27" s="72" t="s">
        <v>76</v>
      </c>
      <c r="D27" s="259">
        <f>D26/D17</f>
        <v>5.35484130197596E-2</v>
      </c>
      <c r="E27" s="259">
        <f t="shared" ref="E27:T27" si="24">E26/E17</f>
        <v>5.4636985545625072E-2</v>
      </c>
      <c r="F27" s="258">
        <f t="shared" si="24"/>
        <v>5.7216754754762005E-2</v>
      </c>
      <c r="G27" s="258">
        <f t="shared" si="24"/>
        <v>5.6253577265486542E-2</v>
      </c>
      <c r="H27" s="258">
        <f t="shared" si="24"/>
        <v>5.4668886060249999E-2</v>
      </c>
      <c r="I27" s="258">
        <f t="shared" si="24"/>
        <v>0.22738280215555334</v>
      </c>
      <c r="J27" s="259">
        <f t="shared" si="24"/>
        <v>0.1013108282511324</v>
      </c>
      <c r="K27" s="145">
        <f t="shared" si="24"/>
        <v>5.2631090888858659E-2</v>
      </c>
      <c r="L27" s="146">
        <v>5.5E-2</v>
      </c>
      <c r="M27" s="258">
        <f>L27</f>
        <v>5.5E-2</v>
      </c>
      <c r="N27" s="258">
        <f>M27</f>
        <v>5.5E-2</v>
      </c>
      <c r="O27" s="259">
        <f t="shared" si="24"/>
        <v>5.44161758085921E-2</v>
      </c>
      <c r="P27" s="258">
        <f>L27</f>
        <v>5.5E-2</v>
      </c>
      <c r="Q27" s="258">
        <f>P27</f>
        <v>5.5E-2</v>
      </c>
      <c r="R27" s="258">
        <f t="shared" ref="R27:S27" si="25">Q27</f>
        <v>5.5E-2</v>
      </c>
      <c r="S27" s="258">
        <f t="shared" si="25"/>
        <v>5.5E-2</v>
      </c>
      <c r="T27" s="259">
        <f t="shared" si="24"/>
        <v>5.4722381685718809E-2</v>
      </c>
      <c r="U27" s="259">
        <f>T27</f>
        <v>5.4722381685718809E-2</v>
      </c>
      <c r="V27" s="259">
        <f>U27</f>
        <v>5.4722381685718809E-2</v>
      </c>
      <c r="W27" s="259">
        <f>V27</f>
        <v>5.4722381685718809E-2</v>
      </c>
    </row>
    <row r="28" spans="1:23" ht="5.0999999999999996" customHeight="1" x14ac:dyDescent="0.25">
      <c r="B28" s="256"/>
      <c r="C28" s="72"/>
      <c r="D28" s="259"/>
      <c r="E28" s="259"/>
      <c r="F28" s="258"/>
      <c r="G28" s="258"/>
      <c r="H28" s="258"/>
      <c r="I28" s="258"/>
      <c r="J28" s="259"/>
      <c r="K28" s="145"/>
      <c r="L28" s="258"/>
      <c r="M28" s="258"/>
      <c r="N28" s="258"/>
      <c r="O28" s="259"/>
      <c r="P28" s="258"/>
      <c r="Q28" s="258"/>
      <c r="R28" s="258"/>
      <c r="S28" s="258"/>
      <c r="T28" s="259"/>
      <c r="U28" s="259"/>
      <c r="V28" s="259"/>
      <c r="W28" s="259"/>
    </row>
    <row r="29" spans="1:23" x14ac:dyDescent="0.25">
      <c r="B29" s="255" t="s">
        <v>73</v>
      </c>
      <c r="C29" s="118" t="s">
        <v>80</v>
      </c>
      <c r="D29" s="180">
        <v>3.0372471326027406</v>
      </c>
      <c r="E29" s="180">
        <v>1.5169999999999999</v>
      </c>
      <c r="F29" s="181">
        <v>0</v>
      </c>
      <c r="G29" s="181">
        <v>0</v>
      </c>
      <c r="H29" s="181">
        <v>0</v>
      </c>
      <c r="I29" s="181">
        <v>0</v>
      </c>
      <c r="J29" s="202">
        <f>SUM(F29:I29)</f>
        <v>0</v>
      </c>
      <c r="K29" s="269">
        <v>0</v>
      </c>
      <c r="L29" s="142">
        <f>K29</f>
        <v>0</v>
      </c>
      <c r="M29" s="142">
        <f t="shared" ref="M29:N29" si="26">L29</f>
        <v>0</v>
      </c>
      <c r="N29" s="142">
        <f t="shared" si="26"/>
        <v>0</v>
      </c>
      <c r="O29" s="202">
        <f>SUM(K29:N29)</f>
        <v>0</v>
      </c>
      <c r="P29" s="142">
        <f>K29</f>
        <v>0</v>
      </c>
      <c r="Q29" s="142">
        <f t="shared" ref="Q29:S29" si="27">L29</f>
        <v>0</v>
      </c>
      <c r="R29" s="142">
        <f t="shared" si="27"/>
        <v>0</v>
      </c>
      <c r="S29" s="142">
        <f t="shared" si="27"/>
        <v>0</v>
      </c>
      <c r="T29" s="202">
        <f>SUM(P29:S29)</f>
        <v>0</v>
      </c>
      <c r="U29" s="202">
        <f>T29</f>
        <v>0</v>
      </c>
      <c r="V29" s="202">
        <f t="shared" ref="V29:W29" si="28">U29</f>
        <v>0</v>
      </c>
      <c r="W29" s="202">
        <f t="shared" si="28"/>
        <v>0</v>
      </c>
    </row>
    <row r="30" spans="1:23" x14ac:dyDescent="0.25">
      <c r="B30" s="256" t="s">
        <v>75</v>
      </c>
      <c r="C30" s="72" t="s">
        <v>76</v>
      </c>
      <c r="D30" s="259">
        <f>D29/D17</f>
        <v>3.1680879275759644E-3</v>
      </c>
      <c r="E30" s="259">
        <f t="shared" ref="E30:W30" si="29">E29/E17</f>
        <v>1.3948655706351833E-3</v>
      </c>
      <c r="F30" s="258">
        <f t="shared" si="29"/>
        <v>0</v>
      </c>
      <c r="G30" s="258">
        <f t="shared" si="29"/>
        <v>0</v>
      </c>
      <c r="H30" s="258">
        <f t="shared" si="29"/>
        <v>0</v>
      </c>
      <c r="I30" s="258">
        <f t="shared" si="29"/>
        <v>0</v>
      </c>
      <c r="J30" s="259">
        <f t="shared" si="29"/>
        <v>0</v>
      </c>
      <c r="K30" s="145">
        <f t="shared" si="29"/>
        <v>0</v>
      </c>
      <c r="L30" s="258">
        <f t="shared" si="29"/>
        <v>0</v>
      </c>
      <c r="M30" s="258">
        <f t="shared" si="29"/>
        <v>0</v>
      </c>
      <c r="N30" s="258">
        <f t="shared" si="29"/>
        <v>0</v>
      </c>
      <c r="O30" s="259">
        <f t="shared" si="29"/>
        <v>0</v>
      </c>
      <c r="P30" s="258">
        <f t="shared" si="29"/>
        <v>0</v>
      </c>
      <c r="Q30" s="258">
        <f t="shared" si="29"/>
        <v>0</v>
      </c>
      <c r="R30" s="258">
        <f t="shared" si="29"/>
        <v>0</v>
      </c>
      <c r="S30" s="258">
        <f t="shared" si="29"/>
        <v>0</v>
      </c>
      <c r="T30" s="259">
        <f t="shared" si="29"/>
        <v>0</v>
      </c>
      <c r="U30" s="259">
        <f t="shared" si="29"/>
        <v>0</v>
      </c>
      <c r="V30" s="259">
        <f t="shared" si="29"/>
        <v>0</v>
      </c>
      <c r="W30" s="259">
        <f t="shared" si="29"/>
        <v>0</v>
      </c>
    </row>
    <row r="31" spans="1:23" ht="5.0999999999999996" customHeight="1" x14ac:dyDescent="0.25">
      <c r="B31" s="256"/>
      <c r="C31" s="72"/>
      <c r="D31" s="259"/>
      <c r="E31" s="259"/>
      <c r="F31" s="258"/>
      <c r="G31" s="258"/>
      <c r="H31" s="258"/>
      <c r="I31" s="258"/>
      <c r="J31" s="259"/>
      <c r="K31" s="145"/>
      <c r="L31" s="258"/>
      <c r="M31" s="258"/>
      <c r="N31" s="258"/>
      <c r="O31" s="259"/>
      <c r="P31" s="258"/>
      <c r="Q31" s="258"/>
      <c r="R31" s="258"/>
      <c r="S31" s="258"/>
      <c r="T31" s="259"/>
      <c r="U31" s="259"/>
      <c r="V31" s="259"/>
      <c r="W31" s="259"/>
    </row>
    <row r="32" spans="1:23" x14ac:dyDescent="0.25">
      <c r="B32" s="255" t="s">
        <v>74</v>
      </c>
      <c r="C32" s="118" t="s">
        <v>80</v>
      </c>
      <c r="D32" s="180">
        <v>36.47067093470686</v>
      </c>
      <c r="E32" s="180">
        <v>43.435000000000002</v>
      </c>
      <c r="F32" s="181">
        <v>10.183</v>
      </c>
      <c r="G32" s="181">
        <v>10.333</v>
      </c>
      <c r="H32" s="181">
        <v>8.2520000000000007</v>
      </c>
      <c r="I32" s="181">
        <v>10.75</v>
      </c>
      <c r="J32" s="202">
        <f>SUM(F32:I32)</f>
        <v>39.518000000000001</v>
      </c>
      <c r="K32" s="269">
        <v>9.3350000000000009</v>
      </c>
      <c r="L32" s="181">
        <f>L17*L33</f>
        <v>10.95762459966793</v>
      </c>
      <c r="M32" s="142">
        <f t="shared" ref="M32:N32" si="30">M17*M33</f>
        <v>11.774128392981229</v>
      </c>
      <c r="N32" s="142">
        <f t="shared" si="30"/>
        <v>11.931073794444336</v>
      </c>
      <c r="O32" s="202">
        <f>SUM(K32:N32)</f>
        <v>43.997826787093494</v>
      </c>
      <c r="P32" s="142">
        <f t="shared" ref="P32:S32" si="31">P17*P33</f>
        <v>11.288460126981704</v>
      </c>
      <c r="Q32" s="142">
        <f t="shared" si="31"/>
        <v>12.042651263956342</v>
      </c>
      <c r="R32" s="142">
        <f t="shared" si="31"/>
        <v>12.88677204065624</v>
      </c>
      <c r="S32" s="142">
        <f t="shared" si="31"/>
        <v>12.945550597706047</v>
      </c>
      <c r="T32" s="202">
        <f>SUM(P32:S32)</f>
        <v>49.163434029300333</v>
      </c>
      <c r="U32" s="202">
        <f t="shared" ref="U32:W32" si="32">U17*U33</f>
        <v>53.398267386717308</v>
      </c>
      <c r="V32" s="202">
        <f t="shared" si="32"/>
        <v>58.003182635843508</v>
      </c>
      <c r="W32" s="202">
        <f t="shared" si="32"/>
        <v>62.305668721639179</v>
      </c>
    </row>
    <row r="33" spans="1:23" x14ac:dyDescent="0.25">
      <c r="B33" s="253" t="s">
        <v>75</v>
      </c>
      <c r="C33" s="290" t="s">
        <v>76</v>
      </c>
      <c r="D33" s="261">
        <f>D32/D17</f>
        <v>3.8041781670834121E-2</v>
      </c>
      <c r="E33" s="261">
        <f t="shared" ref="E33:K33" si="33">E32/E17</f>
        <v>3.9938026407738428E-2</v>
      </c>
      <c r="F33" s="260">
        <f t="shared" si="33"/>
        <v>3.6938959847064065E-2</v>
      </c>
      <c r="G33" s="260">
        <f t="shared" si="33"/>
        <v>3.5627840262597146E-2</v>
      </c>
      <c r="H33" s="260">
        <f t="shared" si="33"/>
        <v>2.6932993896667645E-2</v>
      </c>
      <c r="I33" s="260">
        <f t="shared" si="33"/>
        <v>3.4298695373345289E-2</v>
      </c>
      <c r="J33" s="261">
        <f t="shared" si="33"/>
        <v>3.333417685215645E-2</v>
      </c>
      <c r="K33" s="267">
        <f t="shared" si="33"/>
        <v>2.8854832527602958E-2</v>
      </c>
      <c r="L33" s="260">
        <f>AVERAGE(J33:K33, D33:E33)</f>
        <v>3.5042204364582989E-2</v>
      </c>
      <c r="M33" s="260">
        <f>L33</f>
        <v>3.5042204364582989E-2</v>
      </c>
      <c r="N33" s="260">
        <f>M33</f>
        <v>3.5042204364582989E-2</v>
      </c>
      <c r="O33" s="261">
        <f>O32/O17</f>
        <v>3.351730949095718E-2</v>
      </c>
      <c r="P33" s="260">
        <f>L33</f>
        <v>3.5042204364582989E-2</v>
      </c>
      <c r="Q33" s="260">
        <f>P33</f>
        <v>3.5042204364582989E-2</v>
      </c>
      <c r="R33" s="260">
        <f t="shared" ref="R33:S33" si="34">Q33</f>
        <v>3.5042204364582989E-2</v>
      </c>
      <c r="S33" s="260">
        <f t="shared" si="34"/>
        <v>3.5042204364582989E-2</v>
      </c>
      <c r="T33" s="261">
        <f>T32/T17</f>
        <v>3.4865325133594034E-2</v>
      </c>
      <c r="U33" s="323">
        <f>T33</f>
        <v>3.4865325133594034E-2</v>
      </c>
      <c r="V33" s="261">
        <f t="shared" ref="V33:W33" si="35">U33</f>
        <v>3.4865325133594034E-2</v>
      </c>
      <c r="W33" s="261">
        <f t="shared" si="35"/>
        <v>3.4865325133594034E-2</v>
      </c>
    </row>
    <row r="34" spans="1:23" ht="5.0999999999999996" customHeight="1" x14ac:dyDescent="0.25">
      <c r="B34" s="255"/>
      <c r="C34" s="72"/>
    </row>
    <row r="35" spans="1:23" x14ac:dyDescent="0.25">
      <c r="A35" s="70" t="s">
        <v>1</v>
      </c>
      <c r="B35" s="264" t="s">
        <v>97</v>
      </c>
      <c r="C35" s="293" t="s">
        <v>80</v>
      </c>
      <c r="D35" s="195">
        <f t="shared" ref="D35:W35" si="36">D17-SUM(D20,D23,D26,D29,D32)</f>
        <v>477.07892691750152</v>
      </c>
      <c r="E35" s="195">
        <f t="shared" si="36"/>
        <v>542.87899999999991</v>
      </c>
      <c r="F35" s="196">
        <f t="shared" si="36"/>
        <v>140.66400000000004</v>
      </c>
      <c r="G35" s="196">
        <f t="shared" si="36"/>
        <v>151.51700000000002</v>
      </c>
      <c r="H35" s="196">
        <f t="shared" si="36"/>
        <v>167.40800000000004</v>
      </c>
      <c r="I35" s="196">
        <f t="shared" si="36"/>
        <v>97.230999999999995</v>
      </c>
      <c r="J35" s="195">
        <f t="shared" si="36"/>
        <v>556.82000000000016</v>
      </c>
      <c r="K35" s="197">
        <f t="shared" si="36"/>
        <v>166.04400000000007</v>
      </c>
      <c r="L35" s="198">
        <f t="shared" si="36"/>
        <v>165.71670314524007</v>
      </c>
      <c r="M35" s="198">
        <f t="shared" si="36"/>
        <v>178.06502877938917</v>
      </c>
      <c r="N35" s="198">
        <f t="shared" si="36"/>
        <v>180.43857920244901</v>
      </c>
      <c r="O35" s="195">
        <f t="shared" si="36"/>
        <v>690.26431112707837</v>
      </c>
      <c r="P35" s="198">
        <f t="shared" si="36"/>
        <v>170.7200660886482</v>
      </c>
      <c r="Q35" s="198">
        <f t="shared" si="36"/>
        <v>182.12601156743241</v>
      </c>
      <c r="R35" s="198">
        <f t="shared" si="36"/>
        <v>194.8920002996386</v>
      </c>
      <c r="S35" s="198">
        <f t="shared" si="36"/>
        <v>195.78093280515847</v>
      </c>
      <c r="T35" s="195">
        <f t="shared" si="36"/>
        <v>750.63661627825877</v>
      </c>
      <c r="U35" s="195">
        <f t="shared" si="36"/>
        <v>829.79679518421347</v>
      </c>
      <c r="V35" s="195">
        <f t="shared" si="36"/>
        <v>915.87477847230446</v>
      </c>
      <c r="W35" s="195">
        <f t="shared" si="36"/>
        <v>996.29956489169354</v>
      </c>
    </row>
    <row r="36" spans="1:23" x14ac:dyDescent="0.25">
      <c r="B36" s="125" t="s">
        <v>9</v>
      </c>
      <c r="C36" s="118" t="s">
        <v>76</v>
      </c>
      <c r="D36" s="259">
        <v>0</v>
      </c>
      <c r="E36" s="259">
        <f>E35/D35-1</f>
        <v>0.13792282444258297</v>
      </c>
      <c r="F36" s="258">
        <v>0</v>
      </c>
      <c r="G36" s="258">
        <v>0</v>
      </c>
      <c r="H36" s="258">
        <v>0</v>
      </c>
      <c r="I36" s="258">
        <v>0</v>
      </c>
      <c r="J36" s="259">
        <f>J35/E35-1</f>
        <v>2.5679755525633174E-2</v>
      </c>
      <c r="K36" s="145">
        <f>K35/F35-1</f>
        <v>0.18042996075754991</v>
      </c>
      <c r="L36" s="258">
        <f t="shared" ref="L36:N36" si="37">L35/G35-1</f>
        <v>9.3716897412435829E-2</v>
      </c>
      <c r="M36" s="258">
        <f t="shared" si="37"/>
        <v>6.3659017367085902E-2</v>
      </c>
      <c r="N36" s="258">
        <f t="shared" si="37"/>
        <v>0.85577212208502451</v>
      </c>
      <c r="O36" s="259">
        <f>O35/J35-1</f>
        <v>0.23965430682640387</v>
      </c>
      <c r="P36" s="258">
        <f>P35/K35-1</f>
        <v>2.8161608300499408E-2</v>
      </c>
      <c r="Q36" s="258">
        <f t="shared" ref="Q36" si="38">Q35/L35-1</f>
        <v>9.9020244252690848E-2</v>
      </c>
      <c r="R36" s="258">
        <f t="shared" ref="R36" si="39">R35/M35-1</f>
        <v>9.4499024517031627E-2</v>
      </c>
      <c r="S36" s="258">
        <f t="shared" ref="S36" si="40">S35/N35-1</f>
        <v>8.5028122425502062E-2</v>
      </c>
      <c r="T36" s="259">
        <f>T35/O35-1</f>
        <v>8.7462591036473025E-2</v>
      </c>
      <c r="U36" s="259">
        <f>U35/T35-1</f>
        <v>0.10545739068584181</v>
      </c>
      <c r="V36" s="259">
        <f t="shared" ref="V36:W36" si="41">V35/U35-1</f>
        <v>0.10373381023842332</v>
      </c>
      <c r="W36" s="259">
        <f t="shared" si="41"/>
        <v>8.7811989487841302E-2</v>
      </c>
    </row>
    <row r="37" spans="1:23" x14ac:dyDescent="0.25">
      <c r="B37" s="253" t="s">
        <v>81</v>
      </c>
      <c r="C37" s="292" t="s">
        <v>76</v>
      </c>
      <c r="D37" s="261">
        <f t="shared" ref="D37:W37" si="42">D35/D17</f>
        <v>0.49763088839367126</v>
      </c>
      <c r="E37" s="261">
        <f t="shared" si="42"/>
        <v>0.4991715399610136</v>
      </c>
      <c r="F37" s="260">
        <f t="shared" si="42"/>
        <v>0.51026041912279496</v>
      </c>
      <c r="G37" s="260">
        <f t="shared" si="42"/>
        <v>0.52242557563804626</v>
      </c>
      <c r="H37" s="260">
        <f t="shared" si="42"/>
        <v>0.54638858970593041</v>
      </c>
      <c r="I37" s="260">
        <f t="shared" si="42"/>
        <v>0.31022292556704517</v>
      </c>
      <c r="J37" s="261">
        <f t="shared" si="42"/>
        <v>0.46968815109109163</v>
      </c>
      <c r="K37" s="267">
        <f t="shared" si="42"/>
        <v>0.51324818556114704</v>
      </c>
      <c r="L37" s="260">
        <f t="shared" si="42"/>
        <v>0.52995779563541701</v>
      </c>
      <c r="M37" s="260">
        <f t="shared" si="42"/>
        <v>0.52995779563541701</v>
      </c>
      <c r="N37" s="260">
        <f t="shared" si="42"/>
        <v>0.52995779563541712</v>
      </c>
      <c r="O37" s="261">
        <f t="shared" si="42"/>
        <v>0.5258396660944944</v>
      </c>
      <c r="P37" s="260">
        <f t="shared" si="42"/>
        <v>0.52995779563541701</v>
      </c>
      <c r="Q37" s="260">
        <f t="shared" si="42"/>
        <v>0.52995779563541712</v>
      </c>
      <c r="R37" s="260">
        <f t="shared" si="42"/>
        <v>0.52995779563541701</v>
      </c>
      <c r="S37" s="260">
        <f t="shared" si="42"/>
        <v>0.52995779563541712</v>
      </c>
      <c r="T37" s="261">
        <f t="shared" si="42"/>
        <v>0.53233038335208438</v>
      </c>
      <c r="U37" s="261">
        <f t="shared" si="42"/>
        <v>0.54179913459342866</v>
      </c>
      <c r="V37" s="261">
        <f t="shared" si="42"/>
        <v>0.55052620359770588</v>
      </c>
      <c r="W37" s="261">
        <f t="shared" si="42"/>
        <v>0.5575144119806712</v>
      </c>
    </row>
    <row r="38" spans="1:23" ht="5.0999999999999996" customHeight="1" x14ac:dyDescent="0.25">
      <c r="C38" s="72"/>
    </row>
    <row r="39" spans="1:23" x14ac:dyDescent="0.25">
      <c r="B39" s="255" t="s">
        <v>82</v>
      </c>
      <c r="C39" s="118" t="s">
        <v>80</v>
      </c>
      <c r="D39" s="180">
        <v>27.903411644816451</v>
      </c>
      <c r="E39" s="180">
        <v>28.734000000000002</v>
      </c>
      <c r="F39" s="181">
        <v>7.7990000000000004</v>
      </c>
      <c r="G39" s="181">
        <v>7.8289999999999997</v>
      </c>
      <c r="H39" s="181">
        <v>7.8310000000000004</v>
      </c>
      <c r="I39" s="181">
        <v>7.8230000000000004</v>
      </c>
      <c r="J39" s="202">
        <f>SUM(F39:I39)</f>
        <v>31.282</v>
      </c>
      <c r="K39" s="269">
        <v>8.9789999999999992</v>
      </c>
      <c r="L39" s="142">
        <f>L17*L40</f>
        <v>8.6787505733273811</v>
      </c>
      <c r="M39" s="142">
        <f>M17*M40</f>
        <v>9.3254448180413796</v>
      </c>
      <c r="N39" s="142">
        <f>N17*N40</f>
        <v>9.4497500431875583</v>
      </c>
      <c r="O39" s="141">
        <f>SUM(K39:N39)</f>
        <v>36.432945434556316</v>
      </c>
      <c r="P39" s="142">
        <f>P17*P40</f>
        <v>8.940781727637825</v>
      </c>
      <c r="Q39" s="142">
        <f>Q17*Q40</f>
        <v>9.5381225749064384</v>
      </c>
      <c r="R39" s="142">
        <f>R17*R40</f>
        <v>10.206690256533696</v>
      </c>
      <c r="S39" s="142">
        <f>S17*S40</f>
        <v>10.253244546750103</v>
      </c>
      <c r="T39" s="141">
        <f>SUM(P39:S39)</f>
        <v>38.938839105828066</v>
      </c>
      <c r="U39" s="141">
        <f>U17*U40</f>
        <v>42.292947662325091</v>
      </c>
      <c r="V39" s="141">
        <f>V17*V40</f>
        <v>45.940171610815639</v>
      </c>
      <c r="W39" s="141">
        <f>W17*W40</f>
        <v>49.347863053809945</v>
      </c>
    </row>
    <row r="40" spans="1:23" x14ac:dyDescent="0.25">
      <c r="B40" s="256" t="s">
        <v>75</v>
      </c>
      <c r="C40" s="72" t="s">
        <v>76</v>
      </c>
      <c r="D40" s="259">
        <f t="shared" ref="D40:K40" si="43">D39/D17</f>
        <v>2.9105455601952164E-2</v>
      </c>
      <c r="E40" s="259">
        <f t="shared" si="43"/>
        <v>2.6420611276619224E-2</v>
      </c>
      <c r="F40" s="258">
        <f t="shared" si="43"/>
        <v>2.8290970033119187E-2</v>
      </c>
      <c r="G40" s="258">
        <f t="shared" si="43"/>
        <v>2.6994131560618702E-2</v>
      </c>
      <c r="H40" s="258">
        <f t="shared" si="43"/>
        <v>2.5558928163451809E-2</v>
      </c>
      <c r="I40" s="258">
        <f t="shared" si="43"/>
        <v>2.4959878502853972E-2</v>
      </c>
      <c r="J40" s="259">
        <f t="shared" si="43"/>
        <v>2.6386955824919227E-2</v>
      </c>
      <c r="K40" s="145">
        <f t="shared" si="43"/>
        <v>2.7754423274273906E-2</v>
      </c>
      <c r="L40" s="241">
        <f>K40</f>
        <v>2.7754423274273906E-2</v>
      </c>
      <c r="M40" s="146">
        <f>L40</f>
        <v>2.7754423274273906E-2</v>
      </c>
      <c r="N40" s="146">
        <f>M40</f>
        <v>2.7754423274273906E-2</v>
      </c>
      <c r="O40" s="259">
        <f>O39/O17</f>
        <v>2.7754423274273902E-2</v>
      </c>
      <c r="P40" s="258">
        <f>K40</f>
        <v>2.7754423274273906E-2</v>
      </c>
      <c r="Q40" s="258">
        <f>P40</f>
        <v>2.7754423274273906E-2</v>
      </c>
      <c r="R40" s="258">
        <f t="shared" ref="R40:S40" si="44">Q40</f>
        <v>2.7754423274273906E-2</v>
      </c>
      <c r="S40" s="258">
        <f t="shared" si="44"/>
        <v>2.7754423274273906E-2</v>
      </c>
      <c r="T40" s="259">
        <f>T39/T17</f>
        <v>2.7614329888760263E-2</v>
      </c>
      <c r="U40" s="259">
        <f>T40</f>
        <v>2.7614329888760263E-2</v>
      </c>
      <c r="V40" s="259">
        <f t="shared" ref="V40:W40" si="45">U40</f>
        <v>2.7614329888760263E-2</v>
      </c>
      <c r="W40" s="259">
        <f t="shared" si="45"/>
        <v>2.7614329888760263E-2</v>
      </c>
    </row>
    <row r="41" spans="1:23" ht="5.0999999999999996" customHeight="1" x14ac:dyDescent="0.25">
      <c r="B41" s="256"/>
      <c r="C41" s="72"/>
      <c r="J41" s="202"/>
    </row>
    <row r="42" spans="1:23" x14ac:dyDescent="0.25">
      <c r="B42" s="255" t="s">
        <v>83</v>
      </c>
      <c r="C42" s="118" t="s">
        <v>80</v>
      </c>
      <c r="D42" s="180">
        <v>0</v>
      </c>
      <c r="E42" s="180">
        <v>0</v>
      </c>
      <c r="F42" s="181">
        <v>-3.6059999999999999</v>
      </c>
      <c r="G42" s="181">
        <v>0</v>
      </c>
      <c r="H42" s="181">
        <v>0</v>
      </c>
      <c r="I42" s="181">
        <v>3.6059999999999999</v>
      </c>
      <c r="J42" s="202">
        <f>SUM(F42:I42)</f>
        <v>0</v>
      </c>
      <c r="K42" s="269">
        <v>8.3000000000000004E-2</v>
      </c>
      <c r="L42" s="181">
        <v>0</v>
      </c>
      <c r="M42" s="142">
        <v>0</v>
      </c>
      <c r="N42" s="142">
        <v>0</v>
      </c>
      <c r="O42" s="141">
        <f>SUM(K42:N42)</f>
        <v>8.3000000000000004E-2</v>
      </c>
      <c r="P42" s="142">
        <f>L42</f>
        <v>0</v>
      </c>
      <c r="Q42" s="142">
        <f>P42</f>
        <v>0</v>
      </c>
      <c r="R42" s="142">
        <f t="shared" ref="R42:S42" si="46">Q42</f>
        <v>0</v>
      </c>
      <c r="S42" s="142">
        <f t="shared" si="46"/>
        <v>0</v>
      </c>
      <c r="T42" s="141">
        <f>SUM(P42:S42)</f>
        <v>0</v>
      </c>
      <c r="U42" s="141">
        <f>T42</f>
        <v>0</v>
      </c>
      <c r="V42" s="141">
        <f t="shared" ref="V42:W42" si="47">U42</f>
        <v>0</v>
      </c>
      <c r="W42" s="141">
        <f t="shared" si="47"/>
        <v>0</v>
      </c>
    </row>
    <row r="43" spans="1:23" x14ac:dyDescent="0.25">
      <c r="B43" s="256" t="s">
        <v>75</v>
      </c>
      <c r="C43" s="72" t="s">
        <v>76</v>
      </c>
      <c r="J43" s="202"/>
    </row>
    <row r="44" spans="1:23" ht="5.0999999999999996" customHeight="1" x14ac:dyDescent="0.25">
      <c r="B44" s="265"/>
      <c r="C44" s="72"/>
      <c r="J44" s="202"/>
    </row>
    <row r="45" spans="1:23" x14ac:dyDescent="0.25">
      <c r="B45" s="255" t="s">
        <v>84</v>
      </c>
      <c r="C45" s="118" t="s">
        <v>80</v>
      </c>
      <c r="D45" s="180">
        <v>0.50892409270684957</v>
      </c>
      <c r="E45" s="180">
        <v>0.58799999999999997</v>
      </c>
      <c r="F45" s="181">
        <v>0</v>
      </c>
      <c r="G45" s="181">
        <v>0.23799999999999999</v>
      </c>
      <c r="H45" s="181">
        <v>-8.6999999999999994E-2</v>
      </c>
      <c r="I45" s="181">
        <v>-3.9319999999999999</v>
      </c>
      <c r="J45" s="202">
        <f>SUM(F45:I45)</f>
        <v>-3.7810000000000001</v>
      </c>
      <c r="K45" s="269">
        <v>0</v>
      </c>
      <c r="L45" s="142">
        <f>K45</f>
        <v>0</v>
      </c>
      <c r="M45" s="142">
        <f t="shared" ref="M45:N45" si="48">L45</f>
        <v>0</v>
      </c>
      <c r="N45" s="142">
        <f t="shared" si="48"/>
        <v>0</v>
      </c>
      <c r="O45" s="141">
        <f>SUM(K45:N45)</f>
        <v>0</v>
      </c>
      <c r="P45" s="142">
        <f>K45</f>
        <v>0</v>
      </c>
      <c r="Q45" s="142">
        <f>P45</f>
        <v>0</v>
      </c>
      <c r="R45" s="142">
        <f t="shared" ref="R45:S45" si="49">Q45</f>
        <v>0</v>
      </c>
      <c r="S45" s="142">
        <f t="shared" si="49"/>
        <v>0</v>
      </c>
      <c r="T45" s="141">
        <f>SUM(P45:S45)</f>
        <v>0</v>
      </c>
      <c r="U45" s="141">
        <f>T45</f>
        <v>0</v>
      </c>
      <c r="V45" s="141">
        <f t="shared" ref="V45:W45" si="50">U45</f>
        <v>0</v>
      </c>
      <c r="W45" s="141">
        <f t="shared" si="50"/>
        <v>0</v>
      </c>
    </row>
    <row r="46" spans="1:23" x14ac:dyDescent="0.25">
      <c r="B46" s="253" t="s">
        <v>75</v>
      </c>
      <c r="C46" s="290" t="s">
        <v>76</v>
      </c>
      <c r="D46" s="254"/>
      <c r="E46" s="254"/>
      <c r="F46" s="266"/>
      <c r="G46" s="266"/>
      <c r="H46" s="266"/>
      <c r="I46" s="266"/>
      <c r="J46" s="254"/>
      <c r="K46" s="270"/>
      <c r="L46" s="266"/>
      <c r="M46" s="266"/>
      <c r="N46" s="266"/>
      <c r="O46" s="254"/>
      <c r="P46" s="266"/>
      <c r="Q46" s="266"/>
      <c r="R46" s="266"/>
      <c r="S46" s="266"/>
      <c r="T46" s="254"/>
      <c r="U46" s="254"/>
      <c r="V46" s="254"/>
      <c r="W46" s="254"/>
    </row>
    <row r="47" spans="1:23" ht="5.0999999999999996" customHeight="1" x14ac:dyDescent="0.25">
      <c r="C47" s="72"/>
    </row>
    <row r="48" spans="1:23" x14ac:dyDescent="0.25">
      <c r="A48" s="70" t="s">
        <v>1</v>
      </c>
      <c r="B48" s="158" t="s">
        <v>85</v>
      </c>
      <c r="C48" s="293" t="s">
        <v>80</v>
      </c>
      <c r="D48" s="195">
        <f t="shared" ref="D48:W48" si="51">D35-SUM(D39,D42,D45)</f>
        <v>448.66659117997824</v>
      </c>
      <c r="E48" s="195">
        <f t="shared" si="51"/>
        <v>513.5569999999999</v>
      </c>
      <c r="F48" s="196">
        <f t="shared" si="51"/>
        <v>136.47100000000003</v>
      </c>
      <c r="G48" s="196">
        <f t="shared" si="51"/>
        <v>143.45000000000002</v>
      </c>
      <c r="H48" s="196">
        <f t="shared" si="51"/>
        <v>159.66400000000004</v>
      </c>
      <c r="I48" s="196">
        <f t="shared" si="51"/>
        <v>89.733999999999995</v>
      </c>
      <c r="J48" s="195">
        <f t="shared" si="51"/>
        <v>529.31900000000019</v>
      </c>
      <c r="K48" s="197">
        <f t="shared" si="51"/>
        <v>156.98200000000006</v>
      </c>
      <c r="L48" s="198">
        <f t="shared" si="51"/>
        <v>157.03795257191268</v>
      </c>
      <c r="M48" s="198">
        <f t="shared" si="51"/>
        <v>168.73958396134779</v>
      </c>
      <c r="N48" s="198">
        <f t="shared" si="51"/>
        <v>170.98882915926146</v>
      </c>
      <c r="O48" s="195">
        <f t="shared" si="51"/>
        <v>653.74836569252204</v>
      </c>
      <c r="P48" s="198">
        <f t="shared" si="51"/>
        <v>161.77928436101038</v>
      </c>
      <c r="Q48" s="198">
        <f t="shared" si="51"/>
        <v>172.58788899252596</v>
      </c>
      <c r="R48" s="198">
        <f t="shared" si="51"/>
        <v>184.68531004310489</v>
      </c>
      <c r="S48" s="198">
        <f t="shared" si="51"/>
        <v>185.52768825840838</v>
      </c>
      <c r="T48" s="195">
        <f t="shared" si="51"/>
        <v>711.69777717243073</v>
      </c>
      <c r="U48" s="195">
        <f t="shared" si="51"/>
        <v>787.50384752188836</v>
      </c>
      <c r="V48" s="195">
        <f t="shared" si="51"/>
        <v>869.93460686148887</v>
      </c>
      <c r="W48" s="195">
        <f t="shared" si="51"/>
        <v>946.95170183788355</v>
      </c>
    </row>
    <row r="49" spans="1:23" x14ac:dyDescent="0.25">
      <c r="B49" s="125" t="s">
        <v>9</v>
      </c>
      <c r="C49" s="118" t="s">
        <v>76</v>
      </c>
      <c r="D49" s="259">
        <v>0</v>
      </c>
      <c r="E49" s="259">
        <f>E48/D48-1</f>
        <v>0.14462946449692637</v>
      </c>
      <c r="F49" s="258">
        <v>0</v>
      </c>
      <c r="G49" s="258">
        <v>0</v>
      </c>
      <c r="H49" s="258">
        <v>0</v>
      </c>
      <c r="I49" s="258">
        <v>0</v>
      </c>
      <c r="J49" s="259">
        <f>J48/E48-1</f>
        <v>3.0691821939921482E-2</v>
      </c>
      <c r="K49" s="145">
        <f>K48/F48-1</f>
        <v>0.15029566721134913</v>
      </c>
      <c r="L49" s="258">
        <f t="shared" ref="L49" si="52">L48/G48-1</f>
        <v>9.4722569340625062E-2</v>
      </c>
      <c r="M49" s="258">
        <f t="shared" ref="M49" si="53">M48/H48-1</f>
        <v>5.6841767470110716E-2</v>
      </c>
      <c r="N49" s="258">
        <f t="shared" ref="N49" si="54">N48/I48-1</f>
        <v>0.90550771345600856</v>
      </c>
      <c r="O49" s="259">
        <f>O48/J48-1</f>
        <v>0.23507443657326066</v>
      </c>
      <c r="P49" s="258">
        <f>P48/K48-1</f>
        <v>3.0559454975795486E-2</v>
      </c>
      <c r="Q49" s="258">
        <f t="shared" ref="Q49" si="55">Q48/L48-1</f>
        <v>9.9020244252690848E-2</v>
      </c>
      <c r="R49" s="258">
        <f t="shared" ref="R49" si="56">R48/M48-1</f>
        <v>9.4499024517031405E-2</v>
      </c>
      <c r="S49" s="258">
        <f t="shared" ref="S49" si="57">S48/N48-1</f>
        <v>8.502812242550184E-2</v>
      </c>
      <c r="T49" s="259">
        <f>T48/O48-1</f>
        <v>8.8641768792067754E-2</v>
      </c>
      <c r="U49" s="259">
        <f>U48/T48-1</f>
        <v>0.10651441212959023</v>
      </c>
      <c r="V49" s="259">
        <f t="shared" ref="V49" si="58">V48/U48-1</f>
        <v>0.10467346870620764</v>
      </c>
      <c r="W49" s="259">
        <f t="shared" ref="W49" si="59">W48/V48-1</f>
        <v>8.8532050994331035E-2</v>
      </c>
    </row>
    <row r="50" spans="1:23" x14ac:dyDescent="0.25">
      <c r="B50" s="253" t="s">
        <v>101</v>
      </c>
      <c r="C50" s="292" t="s">
        <v>76</v>
      </c>
      <c r="D50" s="261">
        <f t="shared" ref="D50:W50" si="60">D48/D35</f>
        <v>0.94044520909548268</v>
      </c>
      <c r="E50" s="261">
        <f t="shared" si="60"/>
        <v>0.94598796416881104</v>
      </c>
      <c r="F50" s="260">
        <f t="shared" si="60"/>
        <v>0.97019137803560251</v>
      </c>
      <c r="G50" s="260">
        <f t="shared" si="60"/>
        <v>0.94675844954691546</v>
      </c>
      <c r="H50" s="260">
        <f t="shared" si="60"/>
        <v>0.95374175666634808</v>
      </c>
      <c r="I50" s="260">
        <f t="shared" si="60"/>
        <v>0.92289496148347749</v>
      </c>
      <c r="J50" s="261">
        <f t="shared" si="60"/>
        <v>0.95061061025106863</v>
      </c>
      <c r="K50" s="267">
        <f t="shared" si="60"/>
        <v>0.94542410445424097</v>
      </c>
      <c r="L50" s="260">
        <f t="shared" si="60"/>
        <v>0.94762899328427364</v>
      </c>
      <c r="M50" s="260">
        <f t="shared" si="60"/>
        <v>0.94762899328427375</v>
      </c>
      <c r="N50" s="260">
        <f t="shared" si="60"/>
        <v>0.94762899328427386</v>
      </c>
      <c r="O50" s="261">
        <f t="shared" si="60"/>
        <v>0.94709860433761628</v>
      </c>
      <c r="P50" s="260">
        <f t="shared" si="60"/>
        <v>0.94762899328427386</v>
      </c>
      <c r="Q50" s="260">
        <f t="shared" si="60"/>
        <v>0.94762899328427364</v>
      </c>
      <c r="R50" s="260">
        <f t="shared" si="60"/>
        <v>0.94762899328427375</v>
      </c>
      <c r="S50" s="260">
        <f t="shared" si="60"/>
        <v>0.94762899328427375</v>
      </c>
      <c r="T50" s="261">
        <f t="shared" si="60"/>
        <v>0.94812557999249858</v>
      </c>
      <c r="U50" s="261">
        <f t="shared" si="60"/>
        <v>0.94903216316600003</v>
      </c>
      <c r="V50" s="261">
        <f t="shared" si="60"/>
        <v>0.949840117131029</v>
      </c>
      <c r="W50" s="261">
        <f t="shared" si="60"/>
        <v>0.95046885014029436</v>
      </c>
    </row>
    <row r="51" spans="1:23" ht="5.0999999999999996" customHeight="1" x14ac:dyDescent="0.25">
      <c r="C51" s="72"/>
    </row>
    <row r="52" spans="1:23" x14ac:dyDescent="0.25">
      <c r="B52" s="71" t="s">
        <v>86</v>
      </c>
      <c r="C52" s="72" t="s">
        <v>80</v>
      </c>
      <c r="D52" s="180">
        <v>103.31159081949046</v>
      </c>
      <c r="E52" s="180">
        <v>126.42</v>
      </c>
      <c r="F52" s="181">
        <v>34.220999999999997</v>
      </c>
      <c r="G52" s="181">
        <v>31.084</v>
      </c>
      <c r="H52" s="181">
        <v>34.432000000000002</v>
      </c>
      <c r="I52" s="181">
        <v>150.453</v>
      </c>
      <c r="J52" s="180">
        <v>250.19</v>
      </c>
      <c r="K52" s="269">
        <v>38.44</v>
      </c>
      <c r="L52" s="142">
        <f>L48*L53</f>
        <v>38.474298380118604</v>
      </c>
      <c r="M52" s="142">
        <f t="shared" ref="M52:N52" si="61">M48*M53</f>
        <v>41.341198070530211</v>
      </c>
      <c r="N52" s="142">
        <f t="shared" si="61"/>
        <v>41.892263144019054</v>
      </c>
      <c r="O52" s="141">
        <f>SUM(K52:N52)</f>
        <v>160.14775959466786</v>
      </c>
      <c r="P52" s="142">
        <f>P48*P53</f>
        <v>39.635924668447544</v>
      </c>
      <c r="Q52" s="142">
        <f>Q48*Q53</f>
        <v>42.284032803168863</v>
      </c>
      <c r="R52" s="142">
        <f t="shared" ref="R52" si="62">R48*R53</f>
        <v>45.247900960560699</v>
      </c>
      <c r="S52" s="142">
        <f t="shared" ref="S52" si="63">S48*S53</f>
        <v>45.454283623310054</v>
      </c>
      <c r="T52" s="141">
        <f>SUM(P52:S52)</f>
        <v>172.62214205548716</v>
      </c>
      <c r="U52" s="141">
        <f>U48*U53</f>
        <v>192.93844264286264</v>
      </c>
      <c r="V52" s="141">
        <f t="shared" ref="V52:W52" si="64">V48*V53</f>
        <v>213.13397868106478</v>
      </c>
      <c r="W52" s="141">
        <f t="shared" si="64"/>
        <v>232.00316695028147</v>
      </c>
    </row>
    <row r="53" spans="1:23" x14ac:dyDescent="0.25">
      <c r="B53" s="272" t="s">
        <v>87</v>
      </c>
      <c r="C53" s="292" t="s">
        <v>76</v>
      </c>
      <c r="D53" s="261">
        <f>D52/D48</f>
        <v>0.23026361411885918</v>
      </c>
      <c r="E53" s="261">
        <f t="shared" ref="E53:K53" si="65">E52/E48</f>
        <v>0.2461654694610336</v>
      </c>
      <c r="F53" s="260">
        <f t="shared" si="65"/>
        <v>0.25075657099310467</v>
      </c>
      <c r="G53" s="260">
        <f t="shared" si="65"/>
        <v>0.21668874172185429</v>
      </c>
      <c r="H53" s="260">
        <f t="shared" si="65"/>
        <v>0.2156528710291612</v>
      </c>
      <c r="I53" s="260">
        <f t="shared" si="65"/>
        <v>1.6766554483250498</v>
      </c>
      <c r="J53" s="261">
        <f t="shared" si="65"/>
        <v>0.47266393233569909</v>
      </c>
      <c r="K53" s="267">
        <f t="shared" si="65"/>
        <v>0.24486883846555646</v>
      </c>
      <c r="L53" s="277">
        <v>0.245</v>
      </c>
      <c r="M53" s="260">
        <f t="shared" ref="M53:N53" si="66">L53</f>
        <v>0.245</v>
      </c>
      <c r="N53" s="260">
        <f t="shared" si="66"/>
        <v>0.245</v>
      </c>
      <c r="O53" s="261">
        <f t="shared" ref="O53" si="67">O52/O48</f>
        <v>0.24496850470137968</v>
      </c>
      <c r="P53" s="260">
        <f>L53</f>
        <v>0.245</v>
      </c>
      <c r="Q53" s="260">
        <f>P53</f>
        <v>0.245</v>
      </c>
      <c r="R53" s="260">
        <f t="shared" ref="R53:S53" si="68">Q53</f>
        <v>0.245</v>
      </c>
      <c r="S53" s="260">
        <f t="shared" si="68"/>
        <v>0.245</v>
      </c>
      <c r="T53" s="261">
        <f t="shared" ref="T53" si="69">T52/T48</f>
        <v>0.24254978390028625</v>
      </c>
      <c r="U53" s="261">
        <f>L53</f>
        <v>0.245</v>
      </c>
      <c r="V53" s="261">
        <f>U53</f>
        <v>0.245</v>
      </c>
      <c r="W53" s="261">
        <f>V53</f>
        <v>0.245</v>
      </c>
    </row>
    <row r="54" spans="1:23" ht="5.0999999999999996" customHeight="1" x14ac:dyDescent="0.25">
      <c r="C54" s="72"/>
    </row>
    <row r="55" spans="1:23" x14ac:dyDescent="0.25">
      <c r="A55" s="70" t="s">
        <v>1</v>
      </c>
      <c r="B55" s="158" t="s">
        <v>88</v>
      </c>
      <c r="C55" s="293" t="s">
        <v>80</v>
      </c>
      <c r="D55" s="195">
        <f>D48-D52</f>
        <v>345.35500036048779</v>
      </c>
      <c r="E55" s="195">
        <f t="shared" ref="E55:W55" si="70">E48-E52</f>
        <v>387.13699999999989</v>
      </c>
      <c r="F55" s="196">
        <f t="shared" si="70"/>
        <v>102.25000000000003</v>
      </c>
      <c r="G55" s="196">
        <f t="shared" si="70"/>
        <v>112.36600000000001</v>
      </c>
      <c r="H55" s="196">
        <f t="shared" si="70"/>
        <v>125.23200000000004</v>
      </c>
      <c r="I55" s="196">
        <f t="shared" si="70"/>
        <v>-60.719000000000008</v>
      </c>
      <c r="J55" s="195">
        <f t="shared" si="70"/>
        <v>279.12900000000019</v>
      </c>
      <c r="K55" s="197">
        <f t="shared" si="70"/>
        <v>118.54200000000006</v>
      </c>
      <c r="L55" s="198">
        <f t="shared" si="70"/>
        <v>118.56365419179409</v>
      </c>
      <c r="M55" s="198">
        <f t="shared" si="70"/>
        <v>127.39838589081758</v>
      </c>
      <c r="N55" s="198">
        <f t="shared" si="70"/>
        <v>129.09656601524239</v>
      </c>
      <c r="O55" s="195">
        <f t="shared" si="70"/>
        <v>493.60060609785421</v>
      </c>
      <c r="P55" s="198">
        <f t="shared" si="70"/>
        <v>122.14335969256284</v>
      </c>
      <c r="Q55" s="198">
        <f t="shared" si="70"/>
        <v>130.30385618935711</v>
      </c>
      <c r="R55" s="198">
        <f t="shared" si="70"/>
        <v>139.43740908254421</v>
      </c>
      <c r="S55" s="198">
        <f t="shared" si="70"/>
        <v>140.07340463509831</v>
      </c>
      <c r="T55" s="195">
        <f t="shared" si="70"/>
        <v>539.07563511694354</v>
      </c>
      <c r="U55" s="195">
        <f t="shared" si="70"/>
        <v>594.56540487902566</v>
      </c>
      <c r="V55" s="195">
        <f t="shared" si="70"/>
        <v>656.80062818042416</v>
      </c>
      <c r="W55" s="195">
        <f t="shared" si="70"/>
        <v>714.94853488760214</v>
      </c>
    </row>
    <row r="56" spans="1:23" x14ac:dyDescent="0.25">
      <c r="B56" s="125" t="s">
        <v>9</v>
      </c>
      <c r="C56" s="118" t="s">
        <v>76</v>
      </c>
      <c r="D56" s="259">
        <v>0</v>
      </c>
      <c r="E56" s="259">
        <f>E55/D55-1</f>
        <v>0.12098275570325989</v>
      </c>
      <c r="F56" s="258">
        <v>0</v>
      </c>
      <c r="G56" s="258">
        <v>0</v>
      </c>
      <c r="H56" s="258">
        <v>0</v>
      </c>
      <c r="I56" s="258">
        <v>0</v>
      </c>
      <c r="J56" s="259">
        <f>J55/E55-1</f>
        <v>-0.27899167478179487</v>
      </c>
      <c r="K56" s="145">
        <f>K55/F55-1</f>
        <v>0.15933496332518371</v>
      </c>
      <c r="L56" s="258">
        <f t="shared" ref="L56" si="71">L55/G55-1</f>
        <v>5.5155956355072533E-2</v>
      </c>
      <c r="M56" s="258">
        <f t="shared" ref="M56" si="72">M55/H55-1</f>
        <v>1.7298980219253357E-2</v>
      </c>
      <c r="N56" s="258">
        <f t="shared" ref="N56" si="73">N55/I55-1</f>
        <v>-3.1261312935859018</v>
      </c>
      <c r="O56" s="259">
        <f>O55/J55-1</f>
        <v>0.76836017073773721</v>
      </c>
      <c r="P56" s="258">
        <f>P55/K55-1</f>
        <v>3.0380453278692654E-2</v>
      </c>
      <c r="Q56" s="258">
        <f t="shared" ref="Q56" si="74">Q55/L55-1</f>
        <v>9.9020244252690848E-2</v>
      </c>
      <c r="R56" s="258">
        <f t="shared" ref="R56" si="75">R55/M55-1</f>
        <v>9.4499024517031627E-2</v>
      </c>
      <c r="S56" s="258">
        <f t="shared" ref="S56" si="76">S55/N55-1</f>
        <v>8.5028122425502062E-2</v>
      </c>
      <c r="T56" s="259">
        <f>T55/O55-1</f>
        <v>9.2129200121107813E-2</v>
      </c>
      <c r="U56" s="259">
        <f>U55/T55-1</f>
        <v>0.10293503573027296</v>
      </c>
      <c r="V56" s="259">
        <f t="shared" ref="V56" si="77">V55/U55-1</f>
        <v>0.10467346870620786</v>
      </c>
      <c r="W56" s="259">
        <f t="shared" ref="W56" si="78">W55/V55-1</f>
        <v>8.8532050994331035E-2</v>
      </c>
    </row>
    <row r="57" spans="1:23" ht="5.0999999999999996" customHeight="1" x14ac:dyDescent="0.25">
      <c r="B57" s="273"/>
      <c r="C57" s="291"/>
      <c r="D57" s="274"/>
      <c r="E57" s="274"/>
      <c r="F57" s="275"/>
      <c r="G57" s="275"/>
      <c r="H57" s="275"/>
      <c r="I57" s="275"/>
      <c r="J57" s="274"/>
      <c r="K57" s="276"/>
      <c r="L57" s="275"/>
      <c r="M57" s="275"/>
      <c r="N57" s="275"/>
      <c r="O57" s="274"/>
      <c r="P57" s="275"/>
      <c r="Q57" s="275"/>
      <c r="R57" s="275"/>
      <c r="S57" s="275"/>
      <c r="T57" s="274"/>
      <c r="U57" s="274"/>
      <c r="V57" s="274"/>
      <c r="W57" s="274"/>
    </row>
    <row r="58" spans="1:23" x14ac:dyDescent="0.25">
      <c r="A58" s="70" t="s">
        <v>1</v>
      </c>
      <c r="B58" s="251" t="s">
        <v>89</v>
      </c>
      <c r="C58" s="72"/>
    </row>
    <row r="59" spans="1:23" x14ac:dyDescent="0.25">
      <c r="B59" s="281" t="s">
        <v>88</v>
      </c>
      <c r="C59" s="118" t="s">
        <v>80</v>
      </c>
      <c r="D59" s="232">
        <f>D55</f>
        <v>345.35500036048779</v>
      </c>
      <c r="E59" s="232">
        <f t="shared" ref="E59:W59" si="79">E55</f>
        <v>387.13699999999989</v>
      </c>
      <c r="F59" s="309">
        <f t="shared" si="79"/>
        <v>102.25000000000003</v>
      </c>
      <c r="G59" s="309">
        <f t="shared" si="79"/>
        <v>112.36600000000001</v>
      </c>
      <c r="H59" s="309">
        <f t="shared" si="79"/>
        <v>125.23200000000004</v>
      </c>
      <c r="I59" s="309">
        <f t="shared" si="79"/>
        <v>-60.719000000000008</v>
      </c>
      <c r="J59" s="232">
        <f t="shared" si="79"/>
        <v>279.12900000000019</v>
      </c>
      <c r="K59" s="310">
        <f t="shared" si="79"/>
        <v>118.54200000000006</v>
      </c>
      <c r="L59" s="311">
        <f t="shared" si="79"/>
        <v>118.56365419179409</v>
      </c>
      <c r="M59" s="311">
        <f t="shared" si="79"/>
        <v>127.39838589081758</v>
      </c>
      <c r="N59" s="311">
        <f t="shared" si="79"/>
        <v>129.09656601524239</v>
      </c>
      <c r="O59" s="232">
        <f t="shared" si="79"/>
        <v>493.60060609785421</v>
      </c>
      <c r="P59" s="311">
        <f t="shared" si="79"/>
        <v>122.14335969256284</v>
      </c>
      <c r="Q59" s="311">
        <f t="shared" si="79"/>
        <v>130.30385618935711</v>
      </c>
      <c r="R59" s="311">
        <f t="shared" si="79"/>
        <v>139.43740908254421</v>
      </c>
      <c r="S59" s="311">
        <f t="shared" si="79"/>
        <v>140.07340463509831</v>
      </c>
      <c r="T59" s="232">
        <f t="shared" si="79"/>
        <v>539.07563511694354</v>
      </c>
      <c r="U59" s="232">
        <f t="shared" si="79"/>
        <v>594.56540487902566</v>
      </c>
      <c r="V59" s="232">
        <f t="shared" si="79"/>
        <v>656.80062818042416</v>
      </c>
      <c r="W59" s="232">
        <f t="shared" si="79"/>
        <v>714.94853488760214</v>
      </c>
    </row>
    <row r="60" spans="1:23" x14ac:dyDescent="0.25">
      <c r="B60" s="282" t="s">
        <v>90</v>
      </c>
      <c r="C60" s="118" t="s">
        <v>80</v>
      </c>
      <c r="D60" s="202">
        <f t="shared" ref="D60:N60" si="80">D29</f>
        <v>3.0372471326027406</v>
      </c>
      <c r="E60" s="202">
        <f t="shared" si="80"/>
        <v>1.5169999999999999</v>
      </c>
      <c r="F60" s="268">
        <f t="shared" si="80"/>
        <v>0</v>
      </c>
      <c r="G60" s="268">
        <f t="shared" si="80"/>
        <v>0</v>
      </c>
      <c r="H60" s="268">
        <f t="shared" si="80"/>
        <v>0</v>
      </c>
      <c r="I60" s="268">
        <f t="shared" si="80"/>
        <v>0</v>
      </c>
      <c r="J60" s="202">
        <f t="shared" si="80"/>
        <v>0</v>
      </c>
      <c r="K60" s="312">
        <f t="shared" si="80"/>
        <v>0</v>
      </c>
      <c r="L60" s="268">
        <f t="shared" si="80"/>
        <v>0</v>
      </c>
      <c r="M60" s="268">
        <f t="shared" si="80"/>
        <v>0</v>
      </c>
      <c r="N60" s="268">
        <f t="shared" si="80"/>
        <v>0</v>
      </c>
      <c r="O60" s="202">
        <f t="shared" ref="O60:O63" si="81">SUM(K60:N60)</f>
        <v>0</v>
      </c>
      <c r="P60" s="268">
        <f>P29</f>
        <v>0</v>
      </c>
      <c r="Q60" s="268">
        <f>Q29</f>
        <v>0</v>
      </c>
      <c r="R60" s="268">
        <f>R29</f>
        <v>0</v>
      </c>
      <c r="S60" s="268">
        <f>S29</f>
        <v>0</v>
      </c>
      <c r="T60" s="202">
        <f t="shared" ref="T60:T63" si="82">SUM(P60:S60)</f>
        <v>0</v>
      </c>
      <c r="U60" s="202">
        <f>U29</f>
        <v>0</v>
      </c>
      <c r="V60" s="202">
        <f>V29</f>
        <v>0</v>
      </c>
      <c r="W60" s="202">
        <f>W29</f>
        <v>0</v>
      </c>
    </row>
    <row r="61" spans="1:23" x14ac:dyDescent="0.25">
      <c r="B61" s="282" t="s">
        <v>91</v>
      </c>
      <c r="C61" s="118" t="s">
        <v>80</v>
      </c>
      <c r="D61" s="202">
        <f t="shared" ref="D61:K61" si="83">D32</f>
        <v>36.47067093470686</v>
      </c>
      <c r="E61" s="202">
        <f t="shared" si="83"/>
        <v>43.435000000000002</v>
      </c>
      <c r="F61" s="268">
        <f t="shared" si="83"/>
        <v>10.183</v>
      </c>
      <c r="G61" s="268">
        <f t="shared" si="83"/>
        <v>10.333</v>
      </c>
      <c r="H61" s="268">
        <f t="shared" si="83"/>
        <v>8.2520000000000007</v>
      </c>
      <c r="I61" s="268">
        <f t="shared" si="83"/>
        <v>10.75</v>
      </c>
      <c r="J61" s="202">
        <f t="shared" si="83"/>
        <v>39.518000000000001</v>
      </c>
      <c r="K61" s="312">
        <f t="shared" si="83"/>
        <v>9.3350000000000009</v>
      </c>
      <c r="L61" s="268">
        <f t="shared" ref="L61:N61" si="84">L32</f>
        <v>10.95762459966793</v>
      </c>
      <c r="M61" s="268">
        <f t="shared" si="84"/>
        <v>11.774128392981229</v>
      </c>
      <c r="N61" s="268">
        <f t="shared" si="84"/>
        <v>11.931073794444336</v>
      </c>
      <c r="O61" s="202">
        <f t="shared" si="81"/>
        <v>43.997826787093494</v>
      </c>
      <c r="P61" s="268">
        <f>P32</f>
        <v>11.288460126981704</v>
      </c>
      <c r="Q61" s="268">
        <f t="shared" ref="Q61:W61" si="85">Q32</f>
        <v>12.042651263956342</v>
      </c>
      <c r="R61" s="268">
        <f t="shared" si="85"/>
        <v>12.88677204065624</v>
      </c>
      <c r="S61" s="268">
        <f t="shared" si="85"/>
        <v>12.945550597706047</v>
      </c>
      <c r="T61" s="202">
        <f t="shared" si="82"/>
        <v>49.163434029300333</v>
      </c>
      <c r="U61" s="202">
        <f t="shared" si="85"/>
        <v>53.398267386717308</v>
      </c>
      <c r="V61" s="202">
        <f t="shared" si="85"/>
        <v>58.003182635843508</v>
      </c>
      <c r="W61" s="202">
        <f t="shared" si="85"/>
        <v>62.305668721639179</v>
      </c>
    </row>
    <row r="62" spans="1:23" x14ac:dyDescent="0.25">
      <c r="B62" s="282" t="s">
        <v>92</v>
      </c>
      <c r="C62" s="118" t="s">
        <v>80</v>
      </c>
      <c r="D62" s="202">
        <f t="shared" ref="D62:N62" si="86">D39</f>
        <v>27.903411644816451</v>
      </c>
      <c r="E62" s="202">
        <f t="shared" si="86"/>
        <v>28.734000000000002</v>
      </c>
      <c r="F62" s="268">
        <f t="shared" si="86"/>
        <v>7.7990000000000004</v>
      </c>
      <c r="G62" s="268">
        <f t="shared" si="86"/>
        <v>7.8289999999999997</v>
      </c>
      <c r="H62" s="268">
        <f t="shared" si="86"/>
        <v>7.8310000000000004</v>
      </c>
      <c r="I62" s="268">
        <f t="shared" si="86"/>
        <v>7.8230000000000004</v>
      </c>
      <c r="J62" s="202">
        <f t="shared" si="86"/>
        <v>31.282</v>
      </c>
      <c r="K62" s="312">
        <f t="shared" si="86"/>
        <v>8.9789999999999992</v>
      </c>
      <c r="L62" s="268">
        <f t="shared" si="86"/>
        <v>8.6787505733273811</v>
      </c>
      <c r="M62" s="268">
        <f t="shared" si="86"/>
        <v>9.3254448180413796</v>
      </c>
      <c r="N62" s="268">
        <f t="shared" si="86"/>
        <v>9.4497500431875583</v>
      </c>
      <c r="O62" s="202">
        <f t="shared" si="81"/>
        <v>36.432945434556316</v>
      </c>
      <c r="P62" s="268">
        <f>P39</f>
        <v>8.940781727637825</v>
      </c>
      <c r="Q62" s="268">
        <f>Q39</f>
        <v>9.5381225749064384</v>
      </c>
      <c r="R62" s="268">
        <f>R39</f>
        <v>10.206690256533696</v>
      </c>
      <c r="S62" s="268">
        <f>S39</f>
        <v>10.253244546750103</v>
      </c>
      <c r="T62" s="202">
        <f t="shared" si="82"/>
        <v>38.938839105828066</v>
      </c>
      <c r="U62" s="202">
        <f>U39</f>
        <v>42.292947662325091</v>
      </c>
      <c r="V62" s="202">
        <f>V39</f>
        <v>45.940171610815639</v>
      </c>
      <c r="W62" s="202">
        <f>W39</f>
        <v>49.347863053809945</v>
      </c>
    </row>
    <row r="63" spans="1:23" x14ac:dyDescent="0.25">
      <c r="B63" s="282" t="s">
        <v>83</v>
      </c>
      <c r="C63" s="118" t="s">
        <v>80</v>
      </c>
      <c r="D63" s="202">
        <f t="shared" ref="D63:N63" si="87">D42</f>
        <v>0</v>
      </c>
      <c r="E63" s="202">
        <f t="shared" si="87"/>
        <v>0</v>
      </c>
      <c r="F63" s="268">
        <f t="shared" si="87"/>
        <v>-3.6059999999999999</v>
      </c>
      <c r="G63" s="268">
        <f t="shared" si="87"/>
        <v>0</v>
      </c>
      <c r="H63" s="268">
        <f t="shared" si="87"/>
        <v>0</v>
      </c>
      <c r="I63" s="268">
        <f t="shared" si="87"/>
        <v>3.6059999999999999</v>
      </c>
      <c r="J63" s="202">
        <f t="shared" si="87"/>
        <v>0</v>
      </c>
      <c r="K63" s="312">
        <f t="shared" si="87"/>
        <v>8.3000000000000004E-2</v>
      </c>
      <c r="L63" s="268">
        <f t="shared" si="87"/>
        <v>0</v>
      </c>
      <c r="M63" s="268">
        <f t="shared" si="87"/>
        <v>0</v>
      </c>
      <c r="N63" s="268">
        <f t="shared" si="87"/>
        <v>0</v>
      </c>
      <c r="O63" s="202">
        <f t="shared" si="81"/>
        <v>8.3000000000000004E-2</v>
      </c>
      <c r="P63" s="268">
        <f>P42</f>
        <v>0</v>
      </c>
      <c r="Q63" s="268">
        <f>Q42</f>
        <v>0</v>
      </c>
      <c r="R63" s="268">
        <f>R42</f>
        <v>0</v>
      </c>
      <c r="S63" s="268">
        <f>S42</f>
        <v>0</v>
      </c>
      <c r="T63" s="202">
        <f t="shared" si="82"/>
        <v>0</v>
      </c>
      <c r="U63" s="202">
        <f>U42</f>
        <v>0</v>
      </c>
      <c r="V63" s="202">
        <f>V42</f>
        <v>0</v>
      </c>
      <c r="W63" s="202">
        <f>W42</f>
        <v>0</v>
      </c>
    </row>
    <row r="64" spans="1:23" x14ac:dyDescent="0.25">
      <c r="B64" s="282" t="s">
        <v>86</v>
      </c>
      <c r="C64" s="118" t="s">
        <v>80</v>
      </c>
      <c r="D64" s="202">
        <f t="shared" ref="D64:N64" si="88">D52</f>
        <v>103.31159081949046</v>
      </c>
      <c r="E64" s="202">
        <f t="shared" si="88"/>
        <v>126.42</v>
      </c>
      <c r="F64" s="268">
        <f t="shared" si="88"/>
        <v>34.220999999999997</v>
      </c>
      <c r="G64" s="268">
        <f t="shared" si="88"/>
        <v>31.084</v>
      </c>
      <c r="H64" s="268">
        <f t="shared" si="88"/>
        <v>34.432000000000002</v>
      </c>
      <c r="I64" s="268">
        <f t="shared" si="88"/>
        <v>150.453</v>
      </c>
      <c r="J64" s="202">
        <f t="shared" si="88"/>
        <v>250.19</v>
      </c>
      <c r="K64" s="312">
        <f t="shared" si="88"/>
        <v>38.44</v>
      </c>
      <c r="L64" s="268">
        <f t="shared" si="88"/>
        <v>38.474298380118604</v>
      </c>
      <c r="M64" s="268">
        <f t="shared" si="88"/>
        <v>41.341198070530211</v>
      </c>
      <c r="N64" s="268">
        <f t="shared" si="88"/>
        <v>41.892263144019054</v>
      </c>
      <c r="O64" s="202">
        <f>SUM(K64:N64)</f>
        <v>160.14775959466786</v>
      </c>
      <c r="P64" s="268">
        <f>P52</f>
        <v>39.635924668447544</v>
      </c>
      <c r="Q64" s="268">
        <f>Q52</f>
        <v>42.284032803168863</v>
      </c>
      <c r="R64" s="268">
        <f>R52</f>
        <v>45.247900960560699</v>
      </c>
      <c r="S64" s="268">
        <f>S52</f>
        <v>45.454283623310054</v>
      </c>
      <c r="T64" s="202">
        <f>SUM(P64:S64)</f>
        <v>172.62214205548716</v>
      </c>
      <c r="U64" s="202">
        <f>U52</f>
        <v>192.93844264286264</v>
      </c>
      <c r="V64" s="202">
        <f>V52</f>
        <v>213.13397868106478</v>
      </c>
      <c r="W64" s="202">
        <f>W52</f>
        <v>232.00316695028147</v>
      </c>
    </row>
    <row r="65" spans="1:23" x14ac:dyDescent="0.25">
      <c r="B65" s="282" t="s">
        <v>93</v>
      </c>
      <c r="C65" s="118" t="s">
        <v>80</v>
      </c>
      <c r="D65" s="141">
        <v>0</v>
      </c>
      <c r="E65" s="180">
        <v>5.593</v>
      </c>
      <c r="F65" s="181">
        <v>0</v>
      </c>
      <c r="G65" s="181">
        <v>0</v>
      </c>
      <c r="H65" s="181">
        <v>0</v>
      </c>
      <c r="I65" s="181">
        <v>5.8019999999999996</v>
      </c>
      <c r="J65" s="180">
        <v>5.8019999999999996</v>
      </c>
      <c r="K65" s="269">
        <v>4.3609999999999998</v>
      </c>
      <c r="L65" s="181">
        <v>0</v>
      </c>
      <c r="M65" s="181">
        <v>0</v>
      </c>
      <c r="N65" s="181">
        <v>0</v>
      </c>
      <c r="O65" s="141">
        <f t="shared" ref="O65:O68" si="89">SUM(K65:N65)</f>
        <v>4.3609999999999998</v>
      </c>
      <c r="P65" s="181">
        <v>0</v>
      </c>
      <c r="Q65" s="181">
        <v>0</v>
      </c>
      <c r="R65" s="181">
        <v>0</v>
      </c>
      <c r="S65" s="181">
        <v>0</v>
      </c>
      <c r="T65" s="202">
        <f t="shared" ref="T65:T68" si="90">SUM(P65:S65)</f>
        <v>0</v>
      </c>
      <c r="U65" s="180">
        <v>0</v>
      </c>
      <c r="V65" s="180">
        <v>0</v>
      </c>
      <c r="W65" s="180">
        <v>0</v>
      </c>
    </row>
    <row r="66" spans="1:23" x14ac:dyDescent="0.25">
      <c r="B66" s="282" t="s">
        <v>94</v>
      </c>
      <c r="C66" s="118" t="s">
        <v>80</v>
      </c>
      <c r="D66" s="141">
        <v>0</v>
      </c>
      <c r="E66" s="180">
        <v>7.806</v>
      </c>
      <c r="F66" s="181">
        <v>0</v>
      </c>
      <c r="G66" s="181">
        <v>0</v>
      </c>
      <c r="H66" s="181">
        <v>2.004</v>
      </c>
      <c r="I66" s="181">
        <v>7.6460000000000008</v>
      </c>
      <c r="J66" s="180">
        <v>9.65</v>
      </c>
      <c r="K66" s="269">
        <v>2.2029999999999998</v>
      </c>
      <c r="L66" s="181">
        <v>0</v>
      </c>
      <c r="M66" s="181">
        <v>0</v>
      </c>
      <c r="N66" s="181">
        <v>0</v>
      </c>
      <c r="O66" s="141">
        <f t="shared" si="89"/>
        <v>2.2029999999999998</v>
      </c>
      <c r="P66" s="181">
        <v>0</v>
      </c>
      <c r="Q66" s="181">
        <v>0</v>
      </c>
      <c r="R66" s="181">
        <v>0</v>
      </c>
      <c r="S66" s="181">
        <v>0</v>
      </c>
      <c r="T66" s="202">
        <f t="shared" si="90"/>
        <v>0</v>
      </c>
      <c r="U66" s="180">
        <v>0</v>
      </c>
      <c r="V66" s="180">
        <v>0</v>
      </c>
      <c r="W66" s="180">
        <v>0</v>
      </c>
    </row>
    <row r="67" spans="1:23" x14ac:dyDescent="0.25">
      <c r="B67" s="282" t="s">
        <v>95</v>
      </c>
      <c r="C67" s="118" t="s">
        <v>80</v>
      </c>
      <c r="D67" s="141">
        <v>0</v>
      </c>
      <c r="E67" s="308">
        <v>0</v>
      </c>
      <c r="F67" s="181">
        <v>0</v>
      </c>
      <c r="G67" s="181">
        <v>0</v>
      </c>
      <c r="H67" s="181">
        <v>0</v>
      </c>
      <c r="I67" s="181">
        <v>54.09</v>
      </c>
      <c r="J67" s="180">
        <v>54.09</v>
      </c>
      <c r="K67" s="269">
        <v>0</v>
      </c>
      <c r="L67" s="181">
        <v>0</v>
      </c>
      <c r="M67" s="181">
        <v>0</v>
      </c>
      <c r="N67" s="181">
        <v>0</v>
      </c>
      <c r="O67" s="141">
        <f t="shared" si="89"/>
        <v>0</v>
      </c>
      <c r="P67" s="181">
        <v>0</v>
      </c>
      <c r="Q67" s="181">
        <v>0</v>
      </c>
      <c r="R67" s="181">
        <v>0</v>
      </c>
      <c r="S67" s="181">
        <v>0</v>
      </c>
      <c r="T67" s="202">
        <f t="shared" si="90"/>
        <v>0</v>
      </c>
      <c r="U67" s="180">
        <v>0</v>
      </c>
      <c r="V67" s="180">
        <v>0</v>
      </c>
      <c r="W67" s="180">
        <v>0</v>
      </c>
    </row>
    <row r="68" spans="1:23" x14ac:dyDescent="0.25">
      <c r="B68" s="283" t="s">
        <v>96</v>
      </c>
      <c r="C68" s="292" t="s">
        <v>80</v>
      </c>
      <c r="D68" s="313">
        <f t="shared" ref="D68:N68" si="91">D45</f>
        <v>0.50892409270684957</v>
      </c>
      <c r="E68" s="313">
        <f t="shared" si="91"/>
        <v>0.58799999999999997</v>
      </c>
      <c r="F68" s="314">
        <f t="shared" si="91"/>
        <v>0</v>
      </c>
      <c r="G68" s="314">
        <f t="shared" si="91"/>
        <v>0.23799999999999999</v>
      </c>
      <c r="H68" s="314">
        <f t="shared" si="91"/>
        <v>-8.6999999999999994E-2</v>
      </c>
      <c r="I68" s="314">
        <f t="shared" si="91"/>
        <v>-3.9319999999999999</v>
      </c>
      <c r="J68" s="313">
        <f t="shared" si="91"/>
        <v>-3.7810000000000001</v>
      </c>
      <c r="K68" s="315">
        <f t="shared" si="91"/>
        <v>0</v>
      </c>
      <c r="L68" s="314">
        <f t="shared" si="91"/>
        <v>0</v>
      </c>
      <c r="M68" s="314">
        <f t="shared" si="91"/>
        <v>0</v>
      </c>
      <c r="N68" s="314">
        <f t="shared" si="91"/>
        <v>0</v>
      </c>
      <c r="O68" s="313">
        <f t="shared" si="89"/>
        <v>0</v>
      </c>
      <c r="P68" s="314">
        <f>P45</f>
        <v>0</v>
      </c>
      <c r="Q68" s="314">
        <f>Q45</f>
        <v>0</v>
      </c>
      <c r="R68" s="314">
        <f>R45</f>
        <v>0</v>
      </c>
      <c r="S68" s="314">
        <f>S45</f>
        <v>0</v>
      </c>
      <c r="T68" s="313">
        <f t="shared" si="90"/>
        <v>0</v>
      </c>
      <c r="U68" s="313">
        <f>U45</f>
        <v>0</v>
      </c>
      <c r="V68" s="313">
        <f>V45</f>
        <v>0</v>
      </c>
      <c r="W68" s="313">
        <f>W45</f>
        <v>0</v>
      </c>
    </row>
    <row r="69" spans="1:23" x14ac:dyDescent="0.25">
      <c r="A69" s="70" t="s">
        <v>1</v>
      </c>
      <c r="B69" s="158" t="s">
        <v>89</v>
      </c>
      <c r="C69" s="293" t="s">
        <v>80</v>
      </c>
      <c r="D69" s="195">
        <f t="shared" ref="D69:W69" si="92">D59+D60+D61+D62+D63+D64+D65+D66+D67+D68</f>
        <v>516.58684498481114</v>
      </c>
      <c r="E69" s="195">
        <f t="shared" si="92"/>
        <v>601.22999999999979</v>
      </c>
      <c r="F69" s="196">
        <f t="shared" si="92"/>
        <v>150.84700000000004</v>
      </c>
      <c r="G69" s="196">
        <f t="shared" si="92"/>
        <v>161.85000000000002</v>
      </c>
      <c r="H69" s="196">
        <f t="shared" si="92"/>
        <v>177.66400000000002</v>
      </c>
      <c r="I69" s="196">
        <f t="shared" si="92"/>
        <v>175.51900000000003</v>
      </c>
      <c r="J69" s="195">
        <f t="shared" si="92"/>
        <v>665.88000000000022</v>
      </c>
      <c r="K69" s="197">
        <f t="shared" si="92"/>
        <v>181.94300000000004</v>
      </c>
      <c r="L69" s="196">
        <f t="shared" si="92"/>
        <v>176.674327744908</v>
      </c>
      <c r="M69" s="196">
        <f t="shared" si="92"/>
        <v>189.83915717237039</v>
      </c>
      <c r="N69" s="196">
        <f t="shared" si="92"/>
        <v>192.36965299689331</v>
      </c>
      <c r="O69" s="195">
        <f t="shared" si="92"/>
        <v>740.8261379141718</v>
      </c>
      <c r="P69" s="196">
        <f t="shared" si="92"/>
        <v>182.0085262156299</v>
      </c>
      <c r="Q69" s="196">
        <f t="shared" si="92"/>
        <v>194.16866283138873</v>
      </c>
      <c r="R69" s="196">
        <f t="shared" si="92"/>
        <v>207.77877234029484</v>
      </c>
      <c r="S69" s="196">
        <f t="shared" si="92"/>
        <v>208.72648340286452</v>
      </c>
      <c r="T69" s="195">
        <f t="shared" si="92"/>
        <v>799.8000503075591</v>
      </c>
      <c r="U69" s="195">
        <f t="shared" si="92"/>
        <v>883.19506257093076</v>
      </c>
      <c r="V69" s="195">
        <f t="shared" si="92"/>
        <v>973.87796110814793</v>
      </c>
      <c r="W69" s="195">
        <f t="shared" si="92"/>
        <v>1058.6052336133328</v>
      </c>
    </row>
    <row r="70" spans="1:23" x14ac:dyDescent="0.25">
      <c r="B70" s="125" t="s">
        <v>9</v>
      </c>
      <c r="C70" s="72" t="s">
        <v>76</v>
      </c>
      <c r="D70" s="259">
        <v>0</v>
      </c>
      <c r="E70" s="259">
        <f>E69/D69-1</f>
        <v>0.16385077521220537</v>
      </c>
      <c r="F70" s="258">
        <v>0</v>
      </c>
      <c r="G70" s="258">
        <v>0</v>
      </c>
      <c r="H70" s="258">
        <v>0</v>
      </c>
      <c r="I70" s="258">
        <v>0</v>
      </c>
      <c r="J70" s="259">
        <f>J69/E69-1</f>
        <v>0.10752956439299521</v>
      </c>
      <c r="K70" s="145">
        <f>K69/F69-1</f>
        <v>0.20614264784848224</v>
      </c>
      <c r="L70" s="258">
        <f t="shared" ref="L70" si="93">L69/G69-1</f>
        <v>9.15930042935309E-2</v>
      </c>
      <c r="M70" s="258">
        <f t="shared" ref="M70" si="94">M69/H69-1</f>
        <v>6.8529117729930533E-2</v>
      </c>
      <c r="N70" s="258">
        <f t="shared" ref="N70" si="95">N69/I69-1</f>
        <v>9.6004723117686819E-2</v>
      </c>
      <c r="O70" s="259">
        <f>O69/J69-1</f>
        <v>0.1125520182527957</v>
      </c>
      <c r="P70" s="258">
        <f>P69/K69-1</f>
        <v>3.6014694508645917E-4</v>
      </c>
      <c r="Q70" s="258">
        <f t="shared" ref="Q70" si="96">Q69/L69-1</f>
        <v>9.9020244252690848E-2</v>
      </c>
      <c r="R70" s="258">
        <f t="shared" ref="R70" si="97">R69/M69-1</f>
        <v>9.4499024517031627E-2</v>
      </c>
      <c r="S70" s="258">
        <f t="shared" ref="S70" si="98">S69/N69-1</f>
        <v>8.5028122425502062E-2</v>
      </c>
      <c r="T70" s="259">
        <f>T69/O69-1</f>
        <v>7.9605604304717081E-2</v>
      </c>
      <c r="U70" s="259">
        <f>U69/T69-1</f>
        <v>0.10426982622882131</v>
      </c>
      <c r="V70" s="259">
        <f t="shared" ref="V70" si="99">V69/U69-1</f>
        <v>0.10267595730578982</v>
      </c>
      <c r="W70" s="259">
        <f t="shared" ref="W70" si="100">W69/V69-1</f>
        <v>8.6999886935295256E-2</v>
      </c>
    </row>
    <row r="71" spans="1:23" x14ac:dyDescent="0.25">
      <c r="B71" s="256" t="s">
        <v>101</v>
      </c>
      <c r="C71" s="72" t="s">
        <v>76</v>
      </c>
      <c r="D71" s="259">
        <f t="shared" ref="D71:W71" si="101">D69/D17</f>
        <v>0.53884075799208131</v>
      </c>
      <c r="E71" s="259">
        <f t="shared" si="101"/>
        <v>0.55282467174224859</v>
      </c>
      <c r="F71" s="258">
        <f t="shared" si="101"/>
        <v>0.54719937896985904</v>
      </c>
      <c r="G71" s="258">
        <f t="shared" si="101"/>
        <v>0.5580534159006435</v>
      </c>
      <c r="H71" s="258">
        <f t="shared" si="101"/>
        <v>0.57986226704526911</v>
      </c>
      <c r="I71" s="258">
        <f t="shared" si="101"/>
        <v>0.5600067640217854</v>
      </c>
      <c r="J71" s="259">
        <f t="shared" si="101"/>
        <v>0.56168231394083568</v>
      </c>
      <c r="K71" s="145">
        <f t="shared" si="101"/>
        <v>0.56239258645631129</v>
      </c>
      <c r="L71" s="258">
        <f t="shared" si="101"/>
        <v>0.56499999999999995</v>
      </c>
      <c r="M71" s="258">
        <f t="shared" si="101"/>
        <v>0.56499999999999995</v>
      </c>
      <c r="N71" s="258">
        <f t="shared" si="101"/>
        <v>0.56499999999999995</v>
      </c>
      <c r="O71" s="259">
        <f t="shared" si="101"/>
        <v>0.56435739573263888</v>
      </c>
      <c r="P71" s="258">
        <f t="shared" si="101"/>
        <v>0.56500000000000006</v>
      </c>
      <c r="Q71" s="258">
        <f t="shared" si="101"/>
        <v>0.56499999999999995</v>
      </c>
      <c r="R71" s="258">
        <f t="shared" si="101"/>
        <v>0.56499999999999995</v>
      </c>
      <c r="S71" s="258">
        <f t="shared" si="101"/>
        <v>0.56500000000000006</v>
      </c>
      <c r="T71" s="259">
        <f t="shared" si="101"/>
        <v>0.56719570848567846</v>
      </c>
      <c r="U71" s="259">
        <f t="shared" si="101"/>
        <v>0.57666445972702263</v>
      </c>
      <c r="V71" s="259">
        <f t="shared" si="101"/>
        <v>0.58539152873129996</v>
      </c>
      <c r="W71" s="259">
        <f t="shared" si="101"/>
        <v>0.59237973711426528</v>
      </c>
    </row>
    <row r="72" spans="1:23" ht="5.0999999999999996" customHeight="1" x14ac:dyDescent="0.25">
      <c r="B72" s="256"/>
      <c r="C72" s="72"/>
    </row>
    <row r="73" spans="1:23" outlineLevel="1" x14ac:dyDescent="0.25">
      <c r="B73" s="75" t="s">
        <v>98</v>
      </c>
      <c r="C73" s="76"/>
      <c r="D73" s="154"/>
      <c r="E73" s="154"/>
      <c r="F73" s="154"/>
      <c r="G73" s="154"/>
      <c r="H73" s="154"/>
      <c r="I73" s="154"/>
      <c r="J73" s="154"/>
      <c r="K73" s="155"/>
      <c r="L73" s="156"/>
      <c r="M73" s="156"/>
      <c r="N73" s="156"/>
      <c r="O73" s="157"/>
      <c r="P73" s="157"/>
      <c r="Q73" s="157"/>
      <c r="R73" s="157"/>
      <c r="S73" s="157"/>
      <c r="T73" s="157"/>
      <c r="U73" s="157"/>
      <c r="V73" s="157"/>
      <c r="W73" s="157"/>
    </row>
    <row r="74" spans="1:23" ht="5.0999999999999996" customHeight="1" outlineLevel="1" x14ac:dyDescent="0.25">
      <c r="C74" s="72"/>
    </row>
    <row r="75" spans="1:23" outlineLevel="1" x14ac:dyDescent="0.25">
      <c r="B75" s="298" t="s">
        <v>99</v>
      </c>
      <c r="C75" s="72"/>
    </row>
    <row r="76" spans="1:23" outlineLevel="1" x14ac:dyDescent="0.25">
      <c r="B76" s="167" t="s">
        <v>102</v>
      </c>
      <c r="C76" s="72"/>
      <c r="D76" s="180">
        <v>202.92458528</v>
      </c>
      <c r="E76" s="180">
        <v>202.16800000000001</v>
      </c>
      <c r="F76" s="181">
        <v>185.13200000000001</v>
      </c>
      <c r="G76" s="181">
        <v>248.404</v>
      </c>
      <c r="H76" s="181">
        <v>213.511</v>
      </c>
      <c r="I76" s="181">
        <v>245.09</v>
      </c>
      <c r="J76" s="180">
        <v>245.09</v>
      </c>
      <c r="K76" s="269">
        <v>250.255</v>
      </c>
      <c r="L76" s="327"/>
      <c r="M76" s="327"/>
      <c r="N76" s="327"/>
      <c r="O76" s="327"/>
      <c r="P76" s="327"/>
      <c r="Q76" s="327"/>
      <c r="R76" s="327"/>
      <c r="S76" s="327"/>
      <c r="T76" s="327"/>
      <c r="U76" s="327"/>
      <c r="V76" s="327"/>
      <c r="W76" s="327"/>
    </row>
    <row r="77" spans="1:23" outlineLevel="1" x14ac:dyDescent="0.25">
      <c r="B77" s="158" t="s">
        <v>103</v>
      </c>
      <c r="C77" s="72"/>
      <c r="D77" s="195">
        <f>D76</f>
        <v>202.92458528</v>
      </c>
      <c r="E77" s="195">
        <f>E76</f>
        <v>202.16800000000001</v>
      </c>
      <c r="F77" s="196">
        <f t="shared" ref="F77:K77" si="102">F76</f>
        <v>185.13200000000001</v>
      </c>
      <c r="G77" s="196">
        <f t="shared" si="102"/>
        <v>248.404</v>
      </c>
      <c r="H77" s="196">
        <f t="shared" si="102"/>
        <v>213.511</v>
      </c>
      <c r="I77" s="196">
        <f t="shared" si="102"/>
        <v>245.09</v>
      </c>
      <c r="J77" s="195">
        <f t="shared" si="102"/>
        <v>245.09</v>
      </c>
      <c r="K77" s="197">
        <f>K76</f>
        <v>250.255</v>
      </c>
      <c r="L77" s="327"/>
      <c r="M77" s="327"/>
      <c r="N77" s="327"/>
      <c r="O77" s="327"/>
      <c r="P77" s="327"/>
      <c r="Q77" s="327"/>
      <c r="R77" s="327"/>
      <c r="S77" s="327"/>
      <c r="T77" s="327"/>
      <c r="U77" s="327"/>
      <c r="V77" s="327"/>
      <c r="W77" s="327"/>
    </row>
    <row r="78" spans="1:23" ht="5.0999999999999996" customHeight="1" outlineLevel="1" x14ac:dyDescent="0.25">
      <c r="C78" s="72"/>
      <c r="L78" s="327"/>
      <c r="M78" s="327"/>
      <c r="N78" s="327"/>
      <c r="O78" s="327"/>
      <c r="P78" s="327"/>
      <c r="Q78" s="327"/>
      <c r="R78" s="327"/>
      <c r="S78" s="327"/>
      <c r="T78" s="327"/>
      <c r="U78" s="327"/>
      <c r="V78" s="327"/>
      <c r="W78" s="327"/>
    </row>
    <row r="79" spans="1:23" outlineLevel="1" x14ac:dyDescent="0.25">
      <c r="B79" s="298" t="s">
        <v>100</v>
      </c>
      <c r="C79" s="72"/>
      <c r="L79" s="327"/>
      <c r="M79" s="327" t="s">
        <v>125</v>
      </c>
      <c r="N79" s="327"/>
      <c r="O79" s="327"/>
      <c r="P79" s="327"/>
      <c r="Q79" s="327"/>
      <c r="R79" s="327"/>
      <c r="S79" s="327"/>
      <c r="T79" s="327"/>
      <c r="U79" s="327"/>
      <c r="V79" s="327"/>
      <c r="W79" s="327"/>
    </row>
    <row r="80" spans="1:23" outlineLevel="1" x14ac:dyDescent="0.25">
      <c r="B80" s="167" t="s">
        <v>104</v>
      </c>
      <c r="C80" s="72"/>
      <c r="D80" s="180">
        <v>1208.2584179199998</v>
      </c>
      <c r="E80" s="180">
        <v>1338.1880000000001</v>
      </c>
      <c r="F80" s="181">
        <v>1228.3320000000001</v>
      </c>
      <c r="G80" s="181">
        <v>1362.461</v>
      </c>
      <c r="H80" s="181">
        <v>1476.9490000000001</v>
      </c>
      <c r="I80" s="181">
        <v>1249.173</v>
      </c>
      <c r="J80" s="180">
        <v>1249.173</v>
      </c>
      <c r="K80" s="269">
        <v>1102.559</v>
      </c>
      <c r="L80" s="327"/>
      <c r="M80" s="327"/>
      <c r="N80" s="327"/>
      <c r="O80" s="327"/>
      <c r="P80" s="327"/>
      <c r="Q80" s="327"/>
      <c r="R80" s="327"/>
      <c r="S80" s="327"/>
      <c r="T80" s="327"/>
      <c r="U80" s="327"/>
      <c r="V80" s="327"/>
      <c r="W80" s="327"/>
    </row>
    <row r="81" spans="1:26" outlineLevel="1" x14ac:dyDescent="0.25">
      <c r="B81" s="158" t="s">
        <v>105</v>
      </c>
      <c r="C81" s="72"/>
      <c r="D81" s="195">
        <f>D80</f>
        <v>1208.2584179199998</v>
      </c>
      <c r="E81" s="195">
        <f>E80</f>
        <v>1338.1880000000001</v>
      </c>
      <c r="F81" s="196">
        <f t="shared" ref="F81" si="103">F80</f>
        <v>1228.3320000000001</v>
      </c>
      <c r="G81" s="196">
        <f t="shared" ref="G81" si="104">G80</f>
        <v>1362.461</v>
      </c>
      <c r="H81" s="196">
        <f t="shared" ref="H81" si="105">H80</f>
        <v>1476.9490000000001</v>
      </c>
      <c r="I81" s="196">
        <f t="shared" ref="I81" si="106">I80</f>
        <v>1249.173</v>
      </c>
      <c r="J81" s="195">
        <f t="shared" ref="J81" si="107">J80</f>
        <v>1249.173</v>
      </c>
      <c r="K81" s="197">
        <f t="shared" ref="K81" si="108">K80</f>
        <v>1102.559</v>
      </c>
      <c r="L81" s="327"/>
      <c r="M81" s="327"/>
      <c r="N81" s="327"/>
      <c r="O81" s="327"/>
      <c r="P81" s="327"/>
      <c r="Q81" s="327"/>
      <c r="R81" s="327"/>
      <c r="S81" s="327"/>
      <c r="T81" s="327"/>
      <c r="U81" s="327"/>
      <c r="V81" s="327"/>
      <c r="W81" s="327"/>
    </row>
    <row r="82" spans="1:26" outlineLevel="1" x14ac:dyDescent="0.25">
      <c r="L82" s="327"/>
      <c r="M82" s="327"/>
      <c r="N82" s="327"/>
      <c r="O82" s="327"/>
      <c r="P82" s="327"/>
      <c r="Q82" s="327"/>
      <c r="R82" s="327"/>
      <c r="S82" s="327"/>
      <c r="T82" s="327"/>
      <c r="U82" s="327"/>
      <c r="V82" s="327"/>
      <c r="W82" s="327"/>
    </row>
    <row r="83" spans="1:26" outlineLevel="1" x14ac:dyDescent="0.25">
      <c r="B83" s="71" t="s">
        <v>106</v>
      </c>
      <c r="D83" s="141">
        <f>D76-D80</f>
        <v>-1005.3338326399999</v>
      </c>
      <c r="E83" s="141">
        <f t="shared" ref="E83:K83" si="109">E76-E80</f>
        <v>-1136.02</v>
      </c>
      <c r="F83" s="142">
        <f t="shared" si="109"/>
        <v>-1043.2</v>
      </c>
      <c r="G83" s="142">
        <f t="shared" si="109"/>
        <v>-1114.057</v>
      </c>
      <c r="H83" s="142">
        <f t="shared" si="109"/>
        <v>-1263.4380000000001</v>
      </c>
      <c r="I83" s="142">
        <f t="shared" si="109"/>
        <v>-1004.083</v>
      </c>
      <c r="J83" s="141">
        <f t="shared" si="109"/>
        <v>-1004.083</v>
      </c>
      <c r="K83" s="143">
        <f t="shared" si="109"/>
        <v>-852.30399999999997</v>
      </c>
      <c r="L83" s="329"/>
      <c r="M83" s="329"/>
      <c r="N83" s="329"/>
      <c r="O83" s="329"/>
      <c r="P83" s="329"/>
      <c r="Q83" s="329"/>
      <c r="R83" s="329"/>
      <c r="S83" s="329"/>
      <c r="T83" s="329"/>
      <c r="U83" s="329"/>
      <c r="V83" s="329"/>
      <c r="W83" s="329"/>
    </row>
    <row r="84" spans="1:26" outlineLevel="1" x14ac:dyDescent="0.25">
      <c r="B84" s="256" t="s">
        <v>108</v>
      </c>
      <c r="D84" s="259">
        <f>-D83/D13</f>
        <v>2.0009359461759364</v>
      </c>
      <c r="E84" s="259">
        <f>-E83/E13</f>
        <v>1.9075460926218224</v>
      </c>
      <c r="F84" s="258"/>
      <c r="G84" s="258"/>
      <c r="H84" s="258"/>
      <c r="I84" s="258"/>
      <c r="J84" s="259">
        <f>-J83/J13</f>
        <v>1.6120731730812454</v>
      </c>
      <c r="K84" s="145"/>
      <c r="L84" s="258"/>
      <c r="M84" s="258"/>
      <c r="N84" s="258"/>
      <c r="O84" s="259"/>
      <c r="P84" s="258"/>
      <c r="Q84" s="258"/>
      <c r="R84" s="258"/>
      <c r="S84" s="258"/>
      <c r="T84" s="259"/>
      <c r="U84" s="259"/>
      <c r="V84" s="259"/>
      <c r="W84" s="259"/>
    </row>
    <row r="85" spans="1:26" ht="5.0999999999999996" customHeight="1" outlineLevel="1" x14ac:dyDescent="0.25">
      <c r="B85" s="253"/>
      <c r="C85" s="251"/>
      <c r="D85" s="254"/>
      <c r="E85" s="254"/>
      <c r="F85" s="266"/>
      <c r="G85" s="266"/>
      <c r="H85" s="266"/>
      <c r="I85" s="266"/>
      <c r="J85" s="254"/>
      <c r="K85" s="270"/>
      <c r="L85" s="266"/>
      <c r="M85" s="266"/>
      <c r="N85" s="266"/>
      <c r="O85" s="254"/>
      <c r="P85" s="266"/>
      <c r="Q85" s="266"/>
      <c r="R85" s="266"/>
      <c r="S85" s="266"/>
      <c r="T85" s="254"/>
      <c r="U85" s="254"/>
      <c r="V85" s="254"/>
      <c r="W85" s="254"/>
    </row>
    <row r="86" spans="1:26" ht="5.0999999999999996" customHeight="1" outlineLevel="1" x14ac:dyDescent="0.25"/>
    <row r="87" spans="1:26" s="307" customFormat="1" outlineLevel="1" x14ac:dyDescent="0.25">
      <c r="A87" s="305"/>
      <c r="B87" s="306" t="s">
        <v>107</v>
      </c>
      <c r="C87" s="306"/>
      <c r="D87" s="195">
        <v>0</v>
      </c>
      <c r="E87" s="195">
        <f>E83-D83</f>
        <v>-130.68616736000013</v>
      </c>
      <c r="F87" s="196">
        <f>F83-E83</f>
        <v>92.819999999999936</v>
      </c>
      <c r="G87" s="196">
        <f>G83-F83</f>
        <v>-70.856999999999971</v>
      </c>
      <c r="H87" s="196">
        <f>H83-G83</f>
        <v>-149.38100000000009</v>
      </c>
      <c r="I87" s="196">
        <f>I83-H83</f>
        <v>259.35500000000013</v>
      </c>
      <c r="J87" s="195">
        <f>J83-E83</f>
        <v>131.93700000000001</v>
      </c>
      <c r="K87" s="197">
        <f>K83-J83</f>
        <v>151.779</v>
      </c>
      <c r="L87" s="142"/>
      <c r="M87" s="142"/>
      <c r="N87" s="142"/>
      <c r="O87" s="195">
        <f>K87</f>
        <v>151.779</v>
      </c>
      <c r="P87" s="142"/>
      <c r="Q87" s="142"/>
      <c r="R87" s="142"/>
      <c r="S87" s="142"/>
      <c r="T87" s="195">
        <f>O87</f>
        <v>151.779</v>
      </c>
      <c r="U87" s="195">
        <f>T87</f>
        <v>151.779</v>
      </c>
      <c r="V87" s="195">
        <f t="shared" ref="V87:W87" si="110">U87</f>
        <v>151.779</v>
      </c>
      <c r="W87" s="195">
        <f t="shared" si="110"/>
        <v>151.779</v>
      </c>
      <c r="X87" s="185"/>
      <c r="Y87" s="185"/>
      <c r="Z87" s="185"/>
    </row>
    <row r="88" spans="1:26" outlineLevel="1" x14ac:dyDescent="0.25"/>
    <row r="89" spans="1:26" outlineLevel="1" x14ac:dyDescent="0.25">
      <c r="B89" s="89" t="s">
        <v>119</v>
      </c>
      <c r="C89" s="301"/>
      <c r="D89" s="303"/>
      <c r="E89" s="303"/>
      <c r="F89" s="303"/>
      <c r="G89" s="303"/>
      <c r="H89" s="303"/>
      <c r="I89" s="303"/>
      <c r="J89" s="303"/>
      <c r="K89" s="304"/>
      <c r="L89" s="303"/>
      <c r="M89" s="303"/>
      <c r="N89" s="303"/>
      <c r="O89" s="238">
        <v>80</v>
      </c>
      <c r="P89" s="238"/>
      <c r="Q89" s="238"/>
      <c r="R89" s="238"/>
      <c r="S89" s="238"/>
      <c r="T89" s="238">
        <v>80</v>
      </c>
      <c r="U89" s="238">
        <f>T89</f>
        <v>80</v>
      </c>
      <c r="V89" s="238">
        <v>80</v>
      </c>
      <c r="W89" s="239">
        <v>80</v>
      </c>
    </row>
    <row r="90" spans="1:26" outlineLevel="1" x14ac:dyDescent="0.25">
      <c r="B90" s="137" t="s">
        <v>9</v>
      </c>
      <c r="C90" s="302"/>
      <c r="D90" s="152"/>
      <c r="E90" s="152"/>
      <c r="F90" s="152"/>
      <c r="G90" s="152"/>
      <c r="H90" s="152"/>
      <c r="I90" s="152"/>
      <c r="J90" s="152"/>
      <c r="K90" s="153"/>
      <c r="L90" s="152"/>
      <c r="M90" s="152"/>
      <c r="N90" s="152"/>
      <c r="O90" s="152"/>
      <c r="P90" s="152"/>
      <c r="Q90" s="152"/>
      <c r="R90" s="152"/>
      <c r="S90" s="152"/>
      <c r="T90" s="152"/>
      <c r="U90" s="152"/>
      <c r="V90" s="152"/>
      <c r="W90" s="153"/>
    </row>
    <row r="91" spans="1:26" s="88" customFormat="1" outlineLevel="1" x14ac:dyDescent="0.25">
      <c r="A91" s="81"/>
      <c r="B91" s="324"/>
      <c r="C91" s="307"/>
      <c r="D91" s="321"/>
      <c r="E91" s="321"/>
      <c r="F91" s="321"/>
      <c r="G91" s="321"/>
      <c r="H91" s="321"/>
      <c r="I91" s="321"/>
      <c r="J91" s="321"/>
      <c r="K91" s="322"/>
      <c r="L91" s="321"/>
      <c r="M91" s="321"/>
      <c r="N91" s="321"/>
      <c r="O91" s="321"/>
      <c r="P91" s="321"/>
      <c r="Q91" s="321"/>
      <c r="R91" s="321"/>
      <c r="S91" s="321"/>
      <c r="T91" s="321"/>
      <c r="U91" s="321"/>
      <c r="V91" s="321"/>
      <c r="W91" s="322"/>
      <c r="X91" s="142"/>
      <c r="Y91" s="142"/>
      <c r="Z91" s="142"/>
    </row>
    <row r="92" spans="1:26" outlineLevel="1" x14ac:dyDescent="0.25">
      <c r="A92" s="70" t="s">
        <v>1</v>
      </c>
      <c r="B92" s="89" t="s">
        <v>112</v>
      </c>
      <c r="C92" s="301"/>
      <c r="D92" s="303">
        <f>D69*(1-D53)</f>
        <v>397.63569105234967</v>
      </c>
      <c r="E92" s="303">
        <f>E69*(1-E53)</f>
        <v>453.22793479594264</v>
      </c>
      <c r="F92" s="303">
        <f>F69*(1-F53)</f>
        <v>113.02112353540316</v>
      </c>
      <c r="G92" s="303">
        <f>G69*(1-G53)</f>
        <v>126.77892715231791</v>
      </c>
      <c r="H92" s="303">
        <f>H69*(1-H53)</f>
        <v>139.35024832147511</v>
      </c>
      <c r="I92" s="303">
        <f>I69*(1-0.245)</f>
        <v>132.51684500000002</v>
      </c>
      <c r="J92" s="303">
        <f>SUM(F92:I92)</f>
        <v>511.66714400919614</v>
      </c>
      <c r="K92" s="304">
        <f>K69*(1-K53)</f>
        <v>137.39082892306129</v>
      </c>
      <c r="L92" s="303">
        <f>L69*(1-L53)</f>
        <v>133.38911744740554</v>
      </c>
      <c r="M92" s="303">
        <f>M69*(1-M53)</f>
        <v>143.32856366513965</v>
      </c>
      <c r="N92" s="303">
        <f>N69*(1-N53)</f>
        <v>145.23908801265443</v>
      </c>
      <c r="O92" s="303">
        <f>SUM(K92:N92)</f>
        <v>559.34759804826092</v>
      </c>
      <c r="P92" s="303">
        <f>P69*(1-P53)</f>
        <v>137.41643729280057</v>
      </c>
      <c r="Q92" s="303">
        <f>Q69*(1-Q53)</f>
        <v>146.59734043769851</v>
      </c>
      <c r="R92" s="303">
        <f>R69*(1-R53)</f>
        <v>156.87297311692259</v>
      </c>
      <c r="S92" s="303">
        <f>S69*(1-S53)</f>
        <v>157.58849496916272</v>
      </c>
      <c r="T92" s="303">
        <f>SUM(P92:S92)</f>
        <v>598.47524581658445</v>
      </c>
      <c r="U92" s="303">
        <f>U69*(1-U53)</f>
        <v>666.81227224105271</v>
      </c>
      <c r="V92" s="303">
        <f>V69*(1-V53)</f>
        <v>735.27786063665167</v>
      </c>
      <c r="W92" s="304">
        <f>W69*(1-W53)</f>
        <v>799.24695137806623</v>
      </c>
    </row>
    <row r="93" spans="1:26" outlineLevel="1" x14ac:dyDescent="0.25">
      <c r="B93" s="137" t="s">
        <v>9</v>
      </c>
      <c r="C93" s="302"/>
      <c r="D93" s="152">
        <v>0</v>
      </c>
      <c r="E93" s="152">
        <f>E92/D92-1</f>
        <v>0.1398069765731218</v>
      </c>
      <c r="F93" s="152">
        <v>0</v>
      </c>
      <c r="G93" s="152">
        <v>0</v>
      </c>
      <c r="H93" s="152">
        <v>0</v>
      </c>
      <c r="I93" s="152">
        <v>0</v>
      </c>
      <c r="J93" s="152">
        <f>J92/E92-1</f>
        <v>0.12893999845698967</v>
      </c>
      <c r="K93" s="153">
        <f>K92/F92-1</f>
        <v>0.2156208027787343</v>
      </c>
      <c r="L93" s="152">
        <f t="shared" ref="L93" si="111">L92/G92-1</f>
        <v>5.2139503335170589E-2</v>
      </c>
      <c r="M93" s="152">
        <f t="shared" ref="M93" si="112">M92/H92-1</f>
        <v>2.8549036629534674E-2</v>
      </c>
      <c r="N93" s="152">
        <f t="shared" ref="N93" si="113">N92/I92-1</f>
        <v>9.6004723117686819E-2</v>
      </c>
      <c r="O93" s="152">
        <f>O92/J92-1</f>
        <v>9.3186468189968119E-2</v>
      </c>
      <c r="P93" s="152">
        <f>P92/K92-1</f>
        <v>1.8639067789316677E-4</v>
      </c>
      <c r="Q93" s="152">
        <f t="shared" ref="Q93" si="114">Q92/L92-1</f>
        <v>9.9020244252690848E-2</v>
      </c>
      <c r="R93" s="152">
        <f t="shared" ref="R93" si="115">R92/M92-1</f>
        <v>9.4499024517031405E-2</v>
      </c>
      <c r="S93" s="152">
        <f t="shared" ref="S93" si="116">S92/N92-1</f>
        <v>8.5028122425502284E-2</v>
      </c>
      <c r="T93" s="152">
        <f>T92/O92-1</f>
        <v>6.995229425289784E-2</v>
      </c>
      <c r="U93" s="152">
        <f>U92/T92-1</f>
        <v>0.11418521802221981</v>
      </c>
      <c r="V93" s="152">
        <f t="shared" ref="V93" si="117">V92/U92-1</f>
        <v>0.10267595730578982</v>
      </c>
      <c r="W93" s="153">
        <f t="shared" ref="W93" si="118">W92/V92-1</f>
        <v>8.6999886935295478E-2</v>
      </c>
    </row>
    <row r="94" spans="1:26" outlineLevel="1" x14ac:dyDescent="0.25">
      <c r="B94" s="320"/>
      <c r="C94" s="307"/>
      <c r="D94" s="321"/>
      <c r="E94" s="321"/>
      <c r="F94" s="321"/>
      <c r="G94" s="321"/>
      <c r="H94" s="321"/>
      <c r="I94" s="321"/>
      <c r="J94" s="321"/>
      <c r="K94" s="322"/>
      <c r="L94" s="321"/>
      <c r="M94" s="321"/>
      <c r="N94" s="321"/>
      <c r="O94" s="321"/>
      <c r="P94" s="321"/>
      <c r="Q94" s="321"/>
      <c r="R94" s="321"/>
      <c r="S94" s="321"/>
      <c r="T94" s="321"/>
      <c r="U94" s="321"/>
      <c r="V94" s="321"/>
      <c r="W94" s="321"/>
    </row>
    <row r="95" spans="1:26" outlineLevel="1" x14ac:dyDescent="0.25">
      <c r="B95" s="320"/>
      <c r="C95" s="307"/>
      <c r="D95" s="321"/>
      <c r="E95" s="321"/>
      <c r="F95" s="321"/>
      <c r="G95" s="321"/>
      <c r="H95" s="321"/>
      <c r="I95" s="321"/>
      <c r="J95" s="321"/>
      <c r="K95" s="322"/>
      <c r="L95" s="321"/>
      <c r="M95" s="321"/>
      <c r="N95" s="321"/>
      <c r="O95" s="321"/>
      <c r="P95" s="321"/>
      <c r="Q95" s="321"/>
      <c r="R95" s="321"/>
      <c r="S95" s="321"/>
      <c r="T95" s="321"/>
      <c r="U95" s="321"/>
      <c r="V95" s="321"/>
      <c r="W95" s="321"/>
    </row>
    <row r="96" spans="1:26" outlineLevel="1" x14ac:dyDescent="0.25">
      <c r="B96" s="320"/>
      <c r="C96" s="307"/>
      <c r="D96" s="321"/>
      <c r="E96" s="321"/>
      <c r="F96" s="321"/>
      <c r="G96" s="321"/>
      <c r="H96" s="321"/>
      <c r="I96" s="321"/>
      <c r="J96" s="321"/>
      <c r="K96" s="322"/>
      <c r="L96" s="321"/>
      <c r="M96" s="321"/>
      <c r="N96" s="321"/>
      <c r="O96" s="321"/>
      <c r="P96" s="321"/>
      <c r="Q96" s="321"/>
      <c r="R96" s="321"/>
      <c r="S96" s="321"/>
      <c r="T96" s="321"/>
      <c r="U96" s="321"/>
      <c r="V96" s="321"/>
      <c r="W96" s="321"/>
    </row>
    <row r="97" spans="1:28" ht="14.45" customHeight="1" x14ac:dyDescent="0.25">
      <c r="B97" s="256"/>
    </row>
    <row r="98" spans="1:28" x14ac:dyDescent="0.25">
      <c r="B98" s="71" t="s">
        <v>109</v>
      </c>
      <c r="D98" s="189">
        <v>390.29725500000001</v>
      </c>
      <c r="E98" s="180">
        <v>396.87991</v>
      </c>
      <c r="F98" s="181">
        <v>403.50234499999999</v>
      </c>
      <c r="G98" s="181">
        <v>401.66793699999999</v>
      </c>
      <c r="H98" s="181">
        <v>401.02910100000003</v>
      </c>
      <c r="I98" s="181">
        <v>399.88299999999998</v>
      </c>
      <c r="J98" s="180">
        <v>401.509276</v>
      </c>
      <c r="K98" s="269">
        <v>398.12310500000001</v>
      </c>
      <c r="L98" s="181">
        <v>397.08385320000002</v>
      </c>
      <c r="M98" s="181">
        <v>397.12356158532003</v>
      </c>
      <c r="N98" s="181">
        <v>397.16327394147856</v>
      </c>
      <c r="O98" s="180">
        <v>397.37013413606974</v>
      </c>
      <c r="P98" s="181">
        <v>397.20299026887267</v>
      </c>
      <c r="Q98" s="181">
        <v>397.24271056789956</v>
      </c>
      <c r="R98" s="181">
        <v>397.28243483895631</v>
      </c>
      <c r="S98" s="181">
        <v>397.32216308244023</v>
      </c>
      <c r="T98" s="180">
        <v>397.26295560176959</v>
      </c>
      <c r="U98" s="180">
        <v>397.34202819733861</v>
      </c>
      <c r="V98" s="180">
        <v>397.34202819733861</v>
      </c>
      <c r="W98" s="180">
        <v>397.34202819733861</v>
      </c>
    </row>
    <row r="99" spans="1:28" s="255" customFormat="1" x14ac:dyDescent="0.25">
      <c r="A99" s="70"/>
      <c r="B99" s="167" t="s">
        <v>122</v>
      </c>
      <c r="C99" s="71"/>
      <c r="D99" s="259"/>
      <c r="E99" s="259"/>
      <c r="F99" s="258"/>
      <c r="G99" s="258"/>
      <c r="H99" s="258"/>
      <c r="I99" s="258"/>
      <c r="J99" s="259"/>
      <c r="K99" s="258"/>
      <c r="L99" s="146"/>
      <c r="M99" s="258"/>
      <c r="N99" s="258"/>
      <c r="O99" s="259">
        <v>2</v>
      </c>
      <c r="P99" s="258"/>
      <c r="Q99" s="258"/>
      <c r="R99" s="258"/>
      <c r="S99" s="258"/>
      <c r="T99" s="259"/>
      <c r="U99" s="259"/>
      <c r="V99" s="259"/>
      <c r="W99" s="259"/>
      <c r="X99" s="326"/>
      <c r="Y99" s="326"/>
      <c r="Z99" s="326"/>
    </row>
    <row r="100" spans="1:28" x14ac:dyDescent="0.25">
      <c r="B100" s="71" t="s">
        <v>110</v>
      </c>
      <c r="D100" s="189">
        <v>405.24194299999999</v>
      </c>
      <c r="E100" s="180">
        <v>404.16446300000001</v>
      </c>
      <c r="F100" s="181">
        <v>403.68568399999998</v>
      </c>
      <c r="G100" s="181">
        <v>401.88110599999999</v>
      </c>
      <c r="H100" s="181">
        <v>401.26700899999997</v>
      </c>
      <c r="I100" s="181">
        <v>399.88299999999998</v>
      </c>
      <c r="J100" s="180">
        <v>401.69051000000002</v>
      </c>
      <c r="K100" s="269">
        <v>398.28016400000001</v>
      </c>
      <c r="L100" s="181">
        <v>397.28069715789661</v>
      </c>
      <c r="M100" s="181">
        <v>397.36020233255897</v>
      </c>
      <c r="N100" s="181">
        <v>397.39993835279222</v>
      </c>
      <c r="O100" s="180">
        <v>397.59558947786547</v>
      </c>
      <c r="P100" s="181">
        <v>397.43967834662749</v>
      </c>
      <c r="Q100" s="181">
        <v>397.47942231446211</v>
      </c>
      <c r="R100" s="181">
        <v>397.51917025669354</v>
      </c>
      <c r="S100" s="181">
        <v>397.55892217371917</v>
      </c>
      <c r="T100" s="180">
        <v>397.49967941208354</v>
      </c>
      <c r="U100" s="180">
        <v>397.57879912598025</v>
      </c>
      <c r="V100" s="180">
        <v>397.57879912598025</v>
      </c>
      <c r="W100" s="180">
        <v>397.57879912598025</v>
      </c>
      <c r="Y100" s="144" t="s">
        <v>124</v>
      </c>
    </row>
    <row r="101" spans="1:28" x14ac:dyDescent="0.25">
      <c r="B101" s="71" t="s">
        <v>111</v>
      </c>
      <c r="D101" s="316">
        <f t="shared" ref="D101" si="119">D100</f>
        <v>405.24194299999999</v>
      </c>
      <c r="E101" s="141">
        <f>E100</f>
        <v>404.16446300000001</v>
      </c>
      <c r="F101" s="142">
        <f t="shared" ref="F101:K101" si="120">F100</f>
        <v>403.68568399999998</v>
      </c>
      <c r="G101" s="142">
        <f t="shared" si="120"/>
        <v>401.88110599999999</v>
      </c>
      <c r="H101" s="142">
        <f t="shared" si="120"/>
        <v>401.26700899999997</v>
      </c>
      <c r="I101" s="142">
        <f t="shared" si="120"/>
        <v>399.88299999999998</v>
      </c>
      <c r="J101" s="141">
        <f t="shared" si="120"/>
        <v>401.69051000000002</v>
      </c>
      <c r="K101" s="143">
        <f t="shared" si="120"/>
        <v>398.28016400000001</v>
      </c>
      <c r="L101" s="327">
        <v>397.28069715789661</v>
      </c>
      <c r="M101" s="327">
        <v>397.36020233255897</v>
      </c>
      <c r="N101" s="327">
        <v>397.39993835279222</v>
      </c>
      <c r="O101" s="327">
        <v>397.59558947786547</v>
      </c>
      <c r="P101" s="327">
        <v>397.43967834662749</v>
      </c>
      <c r="Q101" s="327">
        <v>397.47942231446211</v>
      </c>
      <c r="R101" s="327">
        <v>397.51917025669354</v>
      </c>
      <c r="S101" s="327">
        <v>397.55892217371917</v>
      </c>
      <c r="T101" s="327">
        <v>397.49967941208354</v>
      </c>
      <c r="U101" s="327">
        <v>397.57879912598025</v>
      </c>
      <c r="V101" s="327">
        <v>397.57879912598025</v>
      </c>
      <c r="W101" s="327">
        <v>397.57879912598025</v>
      </c>
      <c r="Y101" s="144" t="s">
        <v>123</v>
      </c>
    </row>
    <row r="102" spans="1:28" ht="5.0999999999999996" customHeight="1" x14ac:dyDescent="0.25"/>
    <row r="103" spans="1:28" x14ac:dyDescent="0.25">
      <c r="B103" s="158" t="s">
        <v>113</v>
      </c>
      <c r="C103" s="158"/>
      <c r="D103" s="300">
        <f t="shared" ref="D103:W103" si="121">D55/D100</f>
        <v>0.85221928856581319</v>
      </c>
      <c r="E103" s="300">
        <f t="shared" si="121"/>
        <v>0.95786996493058785</v>
      </c>
      <c r="F103" s="318">
        <f t="shared" si="121"/>
        <v>0.25329112240700624</v>
      </c>
      <c r="G103" s="318">
        <f t="shared" si="121"/>
        <v>0.27960010640559951</v>
      </c>
      <c r="H103" s="318">
        <f t="shared" si="121"/>
        <v>0.3120914433311911</v>
      </c>
      <c r="I103" s="318">
        <f t="shared" si="121"/>
        <v>-0.15184191375977477</v>
      </c>
      <c r="J103" s="300">
        <f t="shared" si="121"/>
        <v>0.69488572184590613</v>
      </c>
      <c r="K103" s="319">
        <f t="shared" si="121"/>
        <v>0.29763470721077651</v>
      </c>
      <c r="L103" s="318">
        <f t="shared" si="121"/>
        <v>0.29843799369057122</v>
      </c>
      <c r="M103" s="318">
        <f t="shared" si="121"/>
        <v>0.32061184070012938</v>
      </c>
      <c r="N103" s="318">
        <f t="shared" si="121"/>
        <v>0.3248530096666416</v>
      </c>
      <c r="O103" s="300">
        <f t="shared" si="121"/>
        <v>1.2414639879332299</v>
      </c>
      <c r="P103" s="318">
        <f t="shared" si="121"/>
        <v>0.30732552975255623</v>
      </c>
      <c r="Q103" s="318">
        <f t="shared" si="121"/>
        <v>0.32782541403179466</v>
      </c>
      <c r="R103" s="318">
        <f t="shared" si="121"/>
        <v>0.3507690182400614</v>
      </c>
      <c r="S103" s="318">
        <f t="shared" si="121"/>
        <v>0.35233369652282936</v>
      </c>
      <c r="T103" s="300">
        <f t="shared" si="121"/>
        <v>1.356166213553319</v>
      </c>
      <c r="U103" s="300">
        <f t="shared" si="121"/>
        <v>1.4954655685516736</v>
      </c>
      <c r="V103" s="300">
        <f t="shared" si="121"/>
        <v>1.6520011369426784</v>
      </c>
      <c r="W103" s="300">
        <f t="shared" si="121"/>
        <v>1.7982561858411805</v>
      </c>
    </row>
    <row r="104" spans="1:28" x14ac:dyDescent="0.25">
      <c r="B104" s="158" t="s">
        <v>114</v>
      </c>
      <c r="C104" s="158"/>
      <c r="D104" s="300">
        <f t="shared" ref="D104:W104" si="122">D92/D101</f>
        <v>0.98123034380069019</v>
      </c>
      <c r="E104" s="300">
        <f t="shared" si="122"/>
        <v>1.1213948189104954</v>
      </c>
      <c r="F104" s="318">
        <f t="shared" si="122"/>
        <v>0.27997307810252486</v>
      </c>
      <c r="G104" s="318">
        <f t="shared" si="122"/>
        <v>0.31546376592364089</v>
      </c>
      <c r="H104" s="318">
        <f t="shared" si="122"/>
        <v>0.34727561747164498</v>
      </c>
      <c r="I104" s="318">
        <f t="shared" si="122"/>
        <v>0.3313890437953102</v>
      </c>
      <c r="J104" s="300">
        <f t="shared" si="122"/>
        <v>1.2737844964502549</v>
      </c>
      <c r="K104" s="319">
        <f t="shared" si="122"/>
        <v>0.34496025999191182</v>
      </c>
      <c r="L104" s="318">
        <f t="shared" si="122"/>
        <v>0.33575534477677105</v>
      </c>
      <c r="M104" s="318">
        <f t="shared" si="122"/>
        <v>0.36070185897777707</v>
      </c>
      <c r="N104" s="318">
        <f t="shared" si="122"/>
        <v>0.36547335315316098</v>
      </c>
      <c r="O104" s="300">
        <f t="shared" si="122"/>
        <v>1.4068254599675341</v>
      </c>
      <c r="P104" s="318">
        <f t="shared" si="122"/>
        <v>0.34575419813255953</v>
      </c>
      <c r="Q104" s="318">
        <f t="shared" si="122"/>
        <v>0.36881743357702529</v>
      </c>
      <c r="R104" s="318">
        <f t="shared" si="122"/>
        <v>0.39462995713042881</v>
      </c>
      <c r="S104" s="318">
        <f t="shared" si="122"/>
        <v>0.39639028626881662</v>
      </c>
      <c r="T104" s="300">
        <f t="shared" si="122"/>
        <v>1.5055993169648616</v>
      </c>
      <c r="U104" s="300">
        <f t="shared" si="122"/>
        <v>1.677182670974769</v>
      </c>
      <c r="V104" s="300">
        <f t="shared" si="122"/>
        <v>1.8493890072937846</v>
      </c>
      <c r="W104" s="300">
        <f t="shared" si="122"/>
        <v>2.0102856418277222</v>
      </c>
    </row>
    <row r="105" spans="1:28" ht="5.0999999999999996" customHeight="1" x14ac:dyDescent="0.25"/>
    <row r="106" spans="1:28" x14ac:dyDescent="0.25">
      <c r="B106" s="158" t="s">
        <v>115</v>
      </c>
      <c r="O106" s="317">
        <v>18</v>
      </c>
      <c r="T106" s="317">
        <v>18</v>
      </c>
      <c r="U106" s="317">
        <v>18</v>
      </c>
      <c r="V106" s="317">
        <v>18</v>
      </c>
      <c r="W106" s="317">
        <v>18</v>
      </c>
    </row>
    <row r="107" spans="1:28" ht="5.0999999999999996" customHeight="1" x14ac:dyDescent="0.25"/>
    <row r="108" spans="1:28" x14ac:dyDescent="0.25">
      <c r="B108" s="71" t="s">
        <v>116</v>
      </c>
      <c r="O108" s="141">
        <f t="shared" ref="O108" si="123">O106*O104*O110</f>
        <v>35.988846186705466</v>
      </c>
      <c r="T108" s="141">
        <f t="shared" ref="T108:V108" si="124">T106*T104*T110</f>
        <v>38.515639486868302</v>
      </c>
      <c r="U108" s="141">
        <f t="shared" si="124"/>
        <v>42.905016215808153</v>
      </c>
      <c r="V108" s="141">
        <f t="shared" si="124"/>
        <v>47.310329828986681</v>
      </c>
      <c r="W108" s="141">
        <f>W106*W104*W110</f>
        <v>51.426323174980055</v>
      </c>
    </row>
    <row r="109" spans="1:28" x14ac:dyDescent="0.25">
      <c r="A109" s="70" t="s">
        <v>1</v>
      </c>
      <c r="B109" s="71" t="s">
        <v>117</v>
      </c>
      <c r="O109" s="141">
        <v>28.86</v>
      </c>
      <c r="T109" s="141">
        <v>28.86</v>
      </c>
      <c r="U109" s="141">
        <v>28.86</v>
      </c>
      <c r="V109" s="141">
        <v>28.86</v>
      </c>
      <c r="W109" s="141">
        <v>28.86</v>
      </c>
      <c r="X109" s="295"/>
    </row>
    <row r="110" spans="1:28" x14ac:dyDescent="0.25">
      <c r="B110" s="71" t="s">
        <v>118</v>
      </c>
      <c r="O110" s="141">
        <v>1.4212</v>
      </c>
      <c r="T110" s="141">
        <v>1.4212</v>
      </c>
      <c r="U110" s="141">
        <v>1.4212</v>
      </c>
      <c r="V110" s="141">
        <v>1.4212</v>
      </c>
      <c r="W110" s="141">
        <v>1.4212</v>
      </c>
      <c r="Y110" s="144" t="s">
        <v>128</v>
      </c>
    </row>
    <row r="111" spans="1:28" x14ac:dyDescent="0.25">
      <c r="Y111" s="331" t="s">
        <v>127</v>
      </c>
      <c r="AA111" s="330"/>
      <c r="AB111" s="330"/>
    </row>
    <row r="112" spans="1:28" x14ac:dyDescent="0.25">
      <c r="B112" s="325" t="s">
        <v>120</v>
      </c>
    </row>
    <row r="113" spans="2:2" x14ac:dyDescent="0.25">
      <c r="B113" s="71" t="s">
        <v>121</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760EC-7DA5-4ED9-AF9D-610DC5A756E4}">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defaultColWidth="9.140625" defaultRowHeight="15" outlineLevelCol="1" x14ac:dyDescent="0.25"/>
  <cols>
    <col min="1" max="1" width="9.140625" style="70"/>
    <col min="2" max="2" width="49.140625" style="71" bestFit="1" customWidth="1"/>
    <col min="3" max="3" width="9.140625" style="118"/>
    <col min="4" max="5" width="10.5703125" style="114" customWidth="1"/>
    <col min="6" max="9" width="10.5703125" style="115" customWidth="1" outlineLevel="1"/>
    <col min="10" max="10" width="10.5703125" style="114" customWidth="1"/>
    <col min="11" max="11" width="10.5703125" style="116" customWidth="1" outlineLevel="1"/>
    <col min="12" max="14" width="10.5703125" style="131" customWidth="1" outlineLevel="1"/>
    <col min="15" max="15" width="10.5703125" style="114" customWidth="1"/>
    <col min="16" max="19" width="10.5703125" style="115" customWidth="1" outlineLevel="1"/>
    <col min="20" max="23" width="10.5703125" style="114" customWidth="1"/>
    <col min="24" max="24" width="9.140625" style="71"/>
    <col min="25" max="25" width="9.5703125" style="71" bestFit="1" customWidth="1"/>
    <col min="26" max="16384" width="9.140625" style="71"/>
  </cols>
  <sheetData>
    <row r="1" spans="1:27" x14ac:dyDescent="0.25">
      <c r="C1" s="72"/>
      <c r="D1" s="71"/>
      <c r="E1" s="71"/>
      <c r="F1" s="71"/>
      <c r="G1" s="71"/>
      <c r="H1" s="71"/>
      <c r="I1" s="71"/>
      <c r="J1" s="71"/>
      <c r="K1" s="73"/>
      <c r="L1" s="71"/>
      <c r="M1" s="71"/>
      <c r="N1" s="71"/>
      <c r="O1" s="71"/>
      <c r="P1" s="71"/>
      <c r="Q1" s="71"/>
      <c r="R1" s="71"/>
      <c r="S1" s="71"/>
      <c r="T1" s="71"/>
      <c r="U1" s="71"/>
      <c r="V1" s="71"/>
      <c r="W1" s="71"/>
    </row>
    <row r="2" spans="1:27" ht="18.75" x14ac:dyDescent="0.3">
      <c r="A2" s="70" t="s">
        <v>1</v>
      </c>
      <c r="B2" s="74" t="s">
        <v>0</v>
      </c>
      <c r="C2" s="72"/>
      <c r="D2" s="71"/>
      <c r="E2" s="71"/>
      <c r="F2" s="71"/>
      <c r="G2" s="71"/>
      <c r="H2" s="71"/>
      <c r="I2" s="71"/>
      <c r="J2" s="71"/>
      <c r="K2" s="73"/>
      <c r="L2" s="71"/>
      <c r="M2" s="71"/>
      <c r="N2" s="71"/>
      <c r="O2" s="71"/>
      <c r="P2" s="71"/>
      <c r="Q2" s="71"/>
      <c r="R2" s="71"/>
      <c r="S2" s="71"/>
      <c r="T2" s="71"/>
      <c r="U2" s="71"/>
      <c r="V2" s="71"/>
      <c r="W2" s="71"/>
    </row>
    <row r="3" spans="1:27" x14ac:dyDescent="0.25">
      <c r="C3" s="72"/>
      <c r="D3" s="71"/>
      <c r="E3" s="71"/>
      <c r="F3" s="71"/>
      <c r="G3" s="71"/>
      <c r="H3" s="71"/>
      <c r="I3" s="71"/>
      <c r="J3" s="71"/>
      <c r="K3" s="73"/>
      <c r="L3" s="71"/>
      <c r="M3" s="71"/>
      <c r="N3" s="71"/>
      <c r="O3" s="71"/>
      <c r="P3" s="71"/>
      <c r="Q3" s="71"/>
      <c r="R3" s="71"/>
      <c r="S3" s="71"/>
      <c r="T3" s="71"/>
      <c r="U3" s="71"/>
      <c r="V3" s="71"/>
      <c r="W3" s="71"/>
    </row>
    <row r="4" spans="1:27" x14ac:dyDescent="0.25">
      <c r="C4" s="72"/>
      <c r="D4" s="71">
        <v>365</v>
      </c>
      <c r="E4" s="71">
        <v>366</v>
      </c>
      <c r="F4" s="71">
        <v>90</v>
      </c>
      <c r="G4" s="71">
        <v>91</v>
      </c>
      <c r="H4" s="71">
        <v>92</v>
      </c>
      <c r="I4" s="71">
        <v>92</v>
      </c>
      <c r="J4" s="71">
        <v>365</v>
      </c>
      <c r="K4" s="73">
        <v>90</v>
      </c>
      <c r="L4" s="71">
        <v>91</v>
      </c>
      <c r="M4" s="71">
        <v>92</v>
      </c>
      <c r="N4" s="71">
        <v>92</v>
      </c>
      <c r="O4" s="71">
        <v>365</v>
      </c>
      <c r="P4" s="71">
        <v>90</v>
      </c>
      <c r="Q4" s="71">
        <v>91</v>
      </c>
      <c r="R4" s="71">
        <v>92</v>
      </c>
      <c r="S4" s="71">
        <v>92</v>
      </c>
      <c r="T4" s="71">
        <v>365</v>
      </c>
      <c r="U4" s="71">
        <v>366</v>
      </c>
      <c r="V4" s="71">
        <v>365</v>
      </c>
      <c r="W4" s="71">
        <v>365</v>
      </c>
    </row>
    <row r="5" spans="1:27" x14ac:dyDescent="0.25">
      <c r="A5" s="70" t="s">
        <v>1</v>
      </c>
      <c r="B5" s="75" t="s">
        <v>3</v>
      </c>
      <c r="C5" s="76" t="s">
        <v>2</v>
      </c>
      <c r="D5" s="77">
        <v>2023</v>
      </c>
      <c r="E5" s="77">
        <f>D5+1</f>
        <v>2024</v>
      </c>
      <c r="F5" s="78" t="s">
        <v>37</v>
      </c>
      <c r="G5" s="79" t="s">
        <v>39</v>
      </c>
      <c r="H5" s="79" t="s">
        <v>38</v>
      </c>
      <c r="I5" s="79" t="s">
        <v>40</v>
      </c>
      <c r="J5" s="77">
        <f>E5+1</f>
        <v>2025</v>
      </c>
      <c r="K5" s="78" t="s">
        <v>4</v>
      </c>
      <c r="L5" s="79" t="s">
        <v>5</v>
      </c>
      <c r="M5" s="79" t="s">
        <v>6</v>
      </c>
      <c r="N5" s="79" t="s">
        <v>7</v>
      </c>
      <c r="O5" s="80">
        <f>J5+1</f>
        <v>2026</v>
      </c>
      <c r="P5" s="78" t="s">
        <v>50</v>
      </c>
      <c r="Q5" s="79" t="s">
        <v>51</v>
      </c>
      <c r="R5" s="79" t="s">
        <v>52</v>
      </c>
      <c r="S5" s="79" t="s">
        <v>53</v>
      </c>
      <c r="T5" s="80">
        <f>O5+1</f>
        <v>2027</v>
      </c>
      <c r="U5" s="80">
        <f t="shared" ref="U5:W5" si="0">T5+1</f>
        <v>2028</v>
      </c>
      <c r="V5" s="80">
        <f t="shared" si="0"/>
        <v>2029</v>
      </c>
      <c r="W5" s="80">
        <f t="shared" si="0"/>
        <v>2030</v>
      </c>
      <c r="Y5" s="262" t="s">
        <v>79</v>
      </c>
    </row>
    <row r="6" spans="1:27" s="88" customFormat="1" ht="5.0999999999999996" customHeight="1" x14ac:dyDescent="0.25">
      <c r="A6" s="81"/>
      <c r="B6" s="82"/>
      <c r="C6" s="83"/>
      <c r="D6" s="84"/>
      <c r="E6" s="84"/>
      <c r="F6" s="84"/>
      <c r="G6" s="84"/>
      <c r="H6" s="84"/>
      <c r="I6" s="84"/>
      <c r="J6" s="84"/>
      <c r="K6" s="85"/>
      <c r="L6" s="86"/>
      <c r="M6" s="86"/>
      <c r="N6" s="86"/>
      <c r="O6" s="87"/>
      <c r="P6" s="87"/>
      <c r="Q6" s="87"/>
      <c r="R6" s="87"/>
      <c r="S6" s="87"/>
      <c r="T6" s="87"/>
      <c r="U6" s="87"/>
      <c r="V6" s="87"/>
      <c r="W6" s="87"/>
    </row>
    <row r="7" spans="1:27" x14ac:dyDescent="0.25">
      <c r="B7" s="89" t="s">
        <v>10</v>
      </c>
      <c r="C7" s="90" t="s">
        <v>8</v>
      </c>
      <c r="D7" s="91">
        <f>D13+D16</f>
        <v>16.662992266508034</v>
      </c>
      <c r="E7" s="91">
        <f t="shared" ref="E7:W7" si="1">E13+E16</f>
        <v>17.079567073170736</v>
      </c>
      <c r="F7" s="91"/>
      <c r="G7" s="91"/>
      <c r="H7" s="91"/>
      <c r="I7" s="91"/>
      <c r="J7" s="91">
        <f t="shared" si="1"/>
        <v>17.506556249999999</v>
      </c>
      <c r="K7" s="92">
        <f t="shared" si="1"/>
        <v>17.614961158613603</v>
      </c>
      <c r="L7" s="91">
        <f>L13+L16</f>
        <v>17.79111077019974</v>
      </c>
      <c r="M7" s="91">
        <f t="shared" si="1"/>
        <v>17.924544100976238</v>
      </c>
      <c r="N7" s="91">
        <f t="shared" si="1"/>
        <v>18.058978181733565</v>
      </c>
      <c r="O7" s="91">
        <f t="shared" si="1"/>
        <v>18.058978181733565</v>
      </c>
      <c r="P7" s="91">
        <f t="shared" si="1"/>
        <v>18.149273072642231</v>
      </c>
      <c r="Q7" s="91">
        <f t="shared" si="1"/>
        <v>18.330765803368649</v>
      </c>
      <c r="R7" s="91">
        <f t="shared" si="1"/>
        <v>18.422419632385491</v>
      </c>
      <c r="S7" s="91">
        <f t="shared" si="1"/>
        <v>18.514531730547418</v>
      </c>
      <c r="T7" s="91">
        <f t="shared" si="1"/>
        <v>18.514531730547418</v>
      </c>
      <c r="U7" s="91">
        <f t="shared" si="1"/>
        <v>18.977395023811102</v>
      </c>
      <c r="V7" s="91">
        <f t="shared" si="1"/>
        <v>19.451829899406377</v>
      </c>
      <c r="W7" s="93">
        <f t="shared" si="1"/>
        <v>19.938125646891535</v>
      </c>
      <c r="AA7" s="71" t="s">
        <v>12</v>
      </c>
    </row>
    <row r="8" spans="1:27" x14ac:dyDescent="0.25">
      <c r="B8" s="94" t="s">
        <v>9</v>
      </c>
      <c r="C8" s="95" t="s">
        <v>76</v>
      </c>
      <c r="D8" s="96">
        <v>0</v>
      </c>
      <c r="E8" s="97">
        <f>E7/D7-1</f>
        <v>2.5000000000000133E-2</v>
      </c>
      <c r="F8" s="97">
        <v>0</v>
      </c>
      <c r="G8" s="97">
        <v>0</v>
      </c>
      <c r="H8" s="97">
        <v>0</v>
      </c>
      <c r="I8" s="97">
        <v>0</v>
      </c>
      <c r="J8" s="97">
        <f>J7/E7-1</f>
        <v>2.4999999999999689E-2</v>
      </c>
      <c r="K8" s="98">
        <v>0</v>
      </c>
      <c r="L8" s="97">
        <f>L7/K7-1</f>
        <v>1.0000000000000009E-2</v>
      </c>
      <c r="M8" s="97">
        <f>M7/L7-1</f>
        <v>7.5000000000000622E-3</v>
      </c>
      <c r="N8" s="97">
        <f>N7/M7-1</f>
        <v>7.5000000000002842E-3</v>
      </c>
      <c r="O8" s="97">
        <f>O7/J7-1</f>
        <v>3.1555145617720548E-2</v>
      </c>
      <c r="P8" s="97">
        <f t="shared" ref="P8:S8" si="2">P7/K7-1</f>
        <v>3.0332846562500126E-2</v>
      </c>
      <c r="Q8" s="97">
        <f t="shared" si="2"/>
        <v>3.0332846562499904E-2</v>
      </c>
      <c r="R8" s="97">
        <f t="shared" si="2"/>
        <v>2.7776189374999927E-2</v>
      </c>
      <c r="S8" s="97">
        <f t="shared" si="2"/>
        <v>2.5225876249999502E-2</v>
      </c>
      <c r="T8" s="97">
        <f>T7/O7-1</f>
        <v>2.5225876249999502E-2</v>
      </c>
      <c r="U8" s="97">
        <f>U7/T7-1</f>
        <v>2.4999999999999911E-2</v>
      </c>
      <c r="V8" s="97">
        <f>V7/U7-1</f>
        <v>2.4999999999999911E-2</v>
      </c>
      <c r="W8" s="98">
        <f>W7/V7-1</f>
        <v>2.4999999999999911E-2</v>
      </c>
    </row>
    <row r="9" spans="1:27" ht="5.0999999999999996" customHeight="1" x14ac:dyDescent="0.25">
      <c r="B9" s="99"/>
      <c r="C9" s="95"/>
      <c r="D9" s="100"/>
      <c r="E9" s="101"/>
      <c r="F9" s="101"/>
      <c r="G9" s="101"/>
      <c r="H9" s="101"/>
      <c r="I9" s="101"/>
      <c r="J9" s="101"/>
      <c r="K9" s="102"/>
      <c r="L9" s="101"/>
      <c r="M9" s="101"/>
      <c r="N9" s="101"/>
      <c r="O9" s="101"/>
      <c r="P9" s="101"/>
      <c r="Q9" s="101"/>
      <c r="R9" s="101"/>
      <c r="S9" s="101"/>
      <c r="T9" s="101"/>
      <c r="U9" s="101"/>
      <c r="V9" s="101"/>
      <c r="W9" s="102"/>
    </row>
    <row r="10" spans="1:27" x14ac:dyDescent="0.25">
      <c r="B10" s="103" t="s">
        <v>14</v>
      </c>
      <c r="C10" s="104" t="s">
        <v>8</v>
      </c>
      <c r="D10" s="105">
        <f>D13</f>
        <v>9.6079119571683549</v>
      </c>
      <c r="E10" s="105">
        <f t="shared" ref="E10" si="3">E13</f>
        <v>9.8481097560975641</v>
      </c>
      <c r="F10" s="105"/>
      <c r="G10" s="105"/>
      <c r="H10" s="105"/>
      <c r="I10" s="105"/>
      <c r="J10" s="105">
        <f>J13+J16</f>
        <v>17.506556249999999</v>
      </c>
      <c r="K10" s="106">
        <f t="shared" ref="K10:W10" si="4">K13+K16</f>
        <v>17.614961158613603</v>
      </c>
      <c r="L10" s="105">
        <f t="shared" si="4"/>
        <v>17.79111077019974</v>
      </c>
      <c r="M10" s="105">
        <f t="shared" si="4"/>
        <v>17.924544100976238</v>
      </c>
      <c r="N10" s="105">
        <f t="shared" si="4"/>
        <v>18.058978181733565</v>
      </c>
      <c r="O10" s="105">
        <f t="shared" si="4"/>
        <v>18.058978181733565</v>
      </c>
      <c r="P10" s="105">
        <f t="shared" si="4"/>
        <v>18.149273072642231</v>
      </c>
      <c r="Q10" s="105">
        <f t="shared" si="4"/>
        <v>18.330765803368649</v>
      </c>
      <c r="R10" s="105">
        <f t="shared" si="4"/>
        <v>18.422419632385491</v>
      </c>
      <c r="S10" s="105">
        <f t="shared" si="4"/>
        <v>18.514531730547418</v>
      </c>
      <c r="T10" s="105">
        <f t="shared" si="4"/>
        <v>18.514531730547418</v>
      </c>
      <c r="U10" s="105">
        <f t="shared" si="4"/>
        <v>18.977395023811102</v>
      </c>
      <c r="V10" s="105">
        <f t="shared" si="4"/>
        <v>19.451829899406377</v>
      </c>
      <c r="W10" s="106">
        <f t="shared" si="4"/>
        <v>19.938125646891535</v>
      </c>
    </row>
    <row r="11" spans="1:27" x14ac:dyDescent="0.25">
      <c r="B11" s="107" t="s">
        <v>9</v>
      </c>
      <c r="C11" s="108" t="s">
        <v>76</v>
      </c>
      <c r="D11" s="109">
        <v>0</v>
      </c>
      <c r="E11" s="110">
        <f>E10/D10-1</f>
        <v>2.5000000000000133E-2</v>
      </c>
      <c r="F11" s="110">
        <v>0</v>
      </c>
      <c r="G11" s="110">
        <v>0</v>
      </c>
      <c r="H11" s="110">
        <v>0</v>
      </c>
      <c r="I11" s="110">
        <v>0</v>
      </c>
      <c r="J11" s="110">
        <f>J10/E10-1</f>
        <v>0.77765649282702443</v>
      </c>
      <c r="K11" s="111">
        <v>0</v>
      </c>
      <c r="L11" s="110">
        <f>L10/K10-1</f>
        <v>1.0000000000000009E-2</v>
      </c>
      <c r="M11" s="110">
        <f>M10/L10-1</f>
        <v>7.5000000000000622E-3</v>
      </c>
      <c r="N11" s="110">
        <f>N10/M10-1</f>
        <v>7.5000000000002842E-3</v>
      </c>
      <c r="O11" s="110">
        <f>O10/J10-1</f>
        <v>3.1555145617720548E-2</v>
      </c>
      <c r="P11" s="110">
        <f t="shared" ref="P11:S11" si="5">P10/K10-1</f>
        <v>3.0332846562500126E-2</v>
      </c>
      <c r="Q11" s="110">
        <f t="shared" si="5"/>
        <v>3.0332846562499904E-2</v>
      </c>
      <c r="R11" s="110">
        <f t="shared" si="5"/>
        <v>2.7776189374999927E-2</v>
      </c>
      <c r="S11" s="110">
        <f t="shared" si="5"/>
        <v>2.5225876249999502E-2</v>
      </c>
      <c r="T11" s="110">
        <f>T10/O10-1</f>
        <v>2.5225876249999502E-2</v>
      </c>
      <c r="U11" s="110">
        <f>U10/T10-1</f>
        <v>2.4999999999999911E-2</v>
      </c>
      <c r="V11" s="110">
        <f>V10/U10-1</f>
        <v>2.4999999999999911E-2</v>
      </c>
      <c r="W11" s="111">
        <f>W10/V10-1</f>
        <v>2.4999999999999911E-2</v>
      </c>
    </row>
    <row r="12" spans="1:27" x14ac:dyDescent="0.25">
      <c r="B12" s="112"/>
      <c r="C12" s="113"/>
      <c r="L12" s="117"/>
      <c r="M12" s="117"/>
      <c r="N12" s="117"/>
    </row>
    <row r="13" spans="1:27" x14ac:dyDescent="0.25">
      <c r="B13" s="71" t="s">
        <v>77</v>
      </c>
      <c r="C13" s="118" t="s">
        <v>8</v>
      </c>
      <c r="D13" s="119">
        <v>9.6079119571683549</v>
      </c>
      <c r="E13" s="119">
        <v>9.8481097560975641</v>
      </c>
      <c r="F13" s="120"/>
      <c r="G13" s="120"/>
      <c r="H13" s="120"/>
      <c r="I13" s="120"/>
      <c r="J13" s="119">
        <v>10.094312499999999</v>
      </c>
      <c r="K13" s="121">
        <v>10.156818969487947</v>
      </c>
      <c r="L13" s="122">
        <f>K13*(1+L14)</f>
        <v>10.258387159182826</v>
      </c>
      <c r="M13" s="122">
        <f t="shared" ref="M13:P13" si="6">L13*(1+M14)</f>
        <v>10.335325062876699</v>
      </c>
      <c r="N13" s="122">
        <f t="shared" si="6"/>
        <v>10.412840000848275</v>
      </c>
      <c r="O13" s="123">
        <f>N13</f>
        <v>10.412840000848275</v>
      </c>
      <c r="P13" s="186">
        <f t="shared" si="6"/>
        <v>10.464904200852516</v>
      </c>
      <c r="Q13" s="186">
        <f t="shared" ref="Q13" si="7">P13*(1+Q14)</f>
        <v>10.569553242861041</v>
      </c>
      <c r="R13" s="186">
        <f t="shared" ref="R13" si="8">Q13*(1+R14)</f>
        <v>10.622401009075345</v>
      </c>
      <c r="S13" s="186">
        <f t="shared" ref="S13" si="9">R13*(1+S14)</f>
        <v>10.675513014120721</v>
      </c>
      <c r="T13" s="123">
        <f>S13</f>
        <v>10.675513014120721</v>
      </c>
      <c r="U13" s="123">
        <f t="shared" ref="U13:W13" si="10">T13*(1+U14)</f>
        <v>10.942400839473738</v>
      </c>
      <c r="V13" s="123">
        <f t="shared" si="10"/>
        <v>11.21596086046058</v>
      </c>
      <c r="W13" s="123">
        <f t="shared" si="10"/>
        <v>11.496359881972094</v>
      </c>
      <c r="Y13" s="124"/>
    </row>
    <row r="14" spans="1:27" x14ac:dyDescent="0.25">
      <c r="B14" s="125" t="s">
        <v>9</v>
      </c>
      <c r="C14" s="118" t="s">
        <v>76</v>
      </c>
      <c r="D14" s="169">
        <v>0</v>
      </c>
      <c r="E14" s="171">
        <f>E13/D13-1</f>
        <v>2.5000000000000133E-2</v>
      </c>
      <c r="F14" s="127">
        <v>0</v>
      </c>
      <c r="G14" s="127">
        <v>0</v>
      </c>
      <c r="H14" s="127">
        <v>0</v>
      </c>
      <c r="I14" s="127">
        <v>0</v>
      </c>
      <c r="J14" s="171">
        <f>J13/E13-1</f>
        <v>2.4999999999999689E-2</v>
      </c>
      <c r="K14" s="257">
        <v>0</v>
      </c>
      <c r="L14" s="173">
        <v>0.01</v>
      </c>
      <c r="M14" s="173">
        <v>7.4999999999999997E-3</v>
      </c>
      <c r="N14" s="173">
        <v>7.4999999999999997E-3</v>
      </c>
      <c r="O14" s="171">
        <f>O13/J13-1</f>
        <v>3.1555145617720548E-2</v>
      </c>
      <c r="P14" s="172">
        <v>5.0000000000000001E-3</v>
      </c>
      <c r="Q14" s="172">
        <v>0.01</v>
      </c>
      <c r="R14" s="172">
        <v>5.0000000000000001E-3</v>
      </c>
      <c r="S14" s="172">
        <v>5.0000000000000001E-3</v>
      </c>
      <c r="T14" s="171">
        <f>T13/O13-1</f>
        <v>2.5225876249999724E-2</v>
      </c>
      <c r="U14" s="174">
        <v>2.5000000000000001E-2</v>
      </c>
      <c r="V14" s="174">
        <v>2.5000000000000001E-2</v>
      </c>
      <c r="W14" s="174">
        <v>2.5000000000000001E-2</v>
      </c>
    </row>
    <row r="15" spans="1:27" ht="5.0999999999999996" customHeight="1" x14ac:dyDescent="0.25"/>
    <row r="16" spans="1:27" x14ac:dyDescent="0.25">
      <c r="B16" s="71" t="s">
        <v>78</v>
      </c>
      <c r="C16" s="118" t="s">
        <v>8</v>
      </c>
      <c r="D16" s="119">
        <v>7.0550803093396794</v>
      </c>
      <c r="E16" s="119">
        <v>7.2314573170731711</v>
      </c>
      <c r="F16" s="120"/>
      <c r="G16" s="120"/>
      <c r="H16" s="120"/>
      <c r="I16" s="120"/>
      <c r="J16" s="119">
        <v>7.41224375</v>
      </c>
      <c r="K16" s="121">
        <v>7.458142189125657</v>
      </c>
      <c r="L16" s="122">
        <f>K16*(1+L17)</f>
        <v>7.5327236110169133</v>
      </c>
      <c r="M16" s="122">
        <f t="shared" ref="M16:P16" si="11">L16*(1+M17)</f>
        <v>7.5892190380995403</v>
      </c>
      <c r="N16" s="122">
        <f t="shared" si="11"/>
        <v>7.6461381808852877</v>
      </c>
      <c r="O16" s="123">
        <f>N16</f>
        <v>7.6461381808852877</v>
      </c>
      <c r="P16" s="186">
        <f t="shared" si="11"/>
        <v>7.6843688717897134</v>
      </c>
      <c r="Q16" s="186">
        <f t="shared" ref="Q16" si="12">P16*(1+Q17)</f>
        <v>7.7612125605076105</v>
      </c>
      <c r="R16" s="186">
        <f t="shared" ref="R16" si="13">Q16*(1+R17)</f>
        <v>7.8000186233101481</v>
      </c>
      <c r="S16" s="186">
        <f t="shared" ref="S16" si="14">R16*(1+S17)</f>
        <v>7.8390187164266978</v>
      </c>
      <c r="T16" s="123">
        <f>S16</f>
        <v>7.8390187164266978</v>
      </c>
      <c r="U16" s="123">
        <f t="shared" ref="U16:W16" si="15">T16*(1+U17)</f>
        <v>8.0349941843373642</v>
      </c>
      <c r="V16" s="123">
        <f t="shared" si="15"/>
        <v>8.2358690389457969</v>
      </c>
      <c r="W16" s="123">
        <f t="shared" si="15"/>
        <v>8.4417657649194418</v>
      </c>
    </row>
    <row r="17" spans="1:27" x14ac:dyDescent="0.25">
      <c r="B17" s="125" t="s">
        <v>9</v>
      </c>
      <c r="C17" s="118" t="s">
        <v>76</v>
      </c>
      <c r="D17" s="114">
        <v>0</v>
      </c>
      <c r="E17" s="126">
        <f>E16/D16-1</f>
        <v>2.4999999999999911E-2</v>
      </c>
      <c r="F17" s="127">
        <v>0</v>
      </c>
      <c r="G17" s="127">
        <v>0</v>
      </c>
      <c r="H17" s="127">
        <v>0</v>
      </c>
      <c r="I17" s="127">
        <v>0</v>
      </c>
      <c r="J17" s="126">
        <f>J16/E16-1</f>
        <v>2.4999999999999911E-2</v>
      </c>
      <c r="K17" s="128">
        <v>0</v>
      </c>
      <c r="L17" s="129">
        <v>0.01</v>
      </c>
      <c r="M17" s="129">
        <v>7.4999999999999997E-3</v>
      </c>
      <c r="N17" s="129">
        <v>7.4999999999999997E-3</v>
      </c>
      <c r="O17" s="126">
        <f>O16/J16-1</f>
        <v>3.1555145617720326E-2</v>
      </c>
      <c r="P17" s="187">
        <v>5.0000000000000001E-3</v>
      </c>
      <c r="Q17" s="187">
        <v>0.01</v>
      </c>
      <c r="R17" s="187">
        <v>5.0000000000000001E-3</v>
      </c>
      <c r="S17" s="187">
        <v>5.0000000000000001E-3</v>
      </c>
      <c r="T17" s="126">
        <f>T16/O16-1</f>
        <v>2.5225876249999724E-2</v>
      </c>
      <c r="U17" s="130">
        <v>2.5000000000000001E-2</v>
      </c>
      <c r="V17" s="130">
        <v>2.5000000000000001E-2</v>
      </c>
      <c r="W17" s="130">
        <v>2.5000000000000001E-2</v>
      </c>
    </row>
    <row r="19" spans="1:27" x14ac:dyDescent="0.25">
      <c r="B19" s="89" t="s">
        <v>15</v>
      </c>
      <c r="C19" s="90" t="s">
        <v>8</v>
      </c>
      <c r="D19" s="132">
        <v>1.5069999999999999</v>
      </c>
      <c r="E19" s="132">
        <v>1.5169999999999999</v>
      </c>
      <c r="F19" s="132">
        <v>1.514</v>
      </c>
      <c r="G19" s="132">
        <v>1.512</v>
      </c>
      <c r="H19" s="132">
        <v>1.53</v>
      </c>
      <c r="I19" s="132">
        <v>1.5549999999999999</v>
      </c>
      <c r="J19" s="133">
        <f>I19</f>
        <v>1.5549999999999999</v>
      </c>
      <c r="K19" s="134">
        <v>1.57</v>
      </c>
      <c r="L19" s="133">
        <f>K19+(L10*L22)</f>
        <v>1.5877911107701999</v>
      </c>
      <c r="M19" s="133">
        <f t="shared" ref="M19:W19" si="16">L19+(M10*M22)</f>
        <v>1.5967533828206879</v>
      </c>
      <c r="N19" s="133">
        <f t="shared" si="16"/>
        <v>1.6012681273661213</v>
      </c>
      <c r="O19" s="91">
        <f>N19</f>
        <v>1.6012681273661213</v>
      </c>
      <c r="P19" s="133">
        <f t="shared" si="16"/>
        <v>1.6103427639024424</v>
      </c>
      <c r="Q19" s="133">
        <f t="shared" ref="Q19" si="17">P19+(Q10*Q22)</f>
        <v>1.6378389126074953</v>
      </c>
      <c r="R19" s="133">
        <f t="shared" ref="R19" si="18">Q19+(R10*R22)</f>
        <v>1.6562613322398807</v>
      </c>
      <c r="S19" s="133">
        <f>R19</f>
        <v>1.6562613322398807</v>
      </c>
      <c r="T19" s="133">
        <f>S19</f>
        <v>1.6562613322398807</v>
      </c>
      <c r="U19" s="133">
        <f t="shared" si="16"/>
        <v>1.7226822148232195</v>
      </c>
      <c r="V19" s="133">
        <f t="shared" si="16"/>
        <v>1.7907636194711418</v>
      </c>
      <c r="W19" s="135">
        <f t="shared" si="16"/>
        <v>1.8605470592352622</v>
      </c>
      <c r="AA19" s="71" t="s">
        <v>23</v>
      </c>
    </row>
    <row r="20" spans="1:27" x14ac:dyDescent="0.25">
      <c r="B20" s="136" t="s">
        <v>9</v>
      </c>
      <c r="C20" s="95" t="s">
        <v>76</v>
      </c>
      <c r="D20" s="96">
        <v>0</v>
      </c>
      <c r="E20" s="97">
        <f>E19/D19-1</f>
        <v>6.6357000663570531E-3</v>
      </c>
      <c r="F20" s="97">
        <v>0</v>
      </c>
      <c r="G20" s="97">
        <v>0</v>
      </c>
      <c r="H20" s="97">
        <v>0</v>
      </c>
      <c r="I20" s="97">
        <v>0</v>
      </c>
      <c r="J20" s="97">
        <f>J19/E19-1</f>
        <v>2.5049439683586083E-2</v>
      </c>
      <c r="K20" s="98">
        <f>K19/F19-1</f>
        <v>3.6988110964332854E-2</v>
      </c>
      <c r="L20" s="97">
        <f t="shared" ref="L20:N20" si="19">L19/G19-1</f>
        <v>5.0126396012036833E-2</v>
      </c>
      <c r="M20" s="97">
        <f t="shared" si="19"/>
        <v>4.3629661974305733E-2</v>
      </c>
      <c r="N20" s="97">
        <f t="shared" si="19"/>
        <v>2.9754422743486497E-2</v>
      </c>
      <c r="O20" s="97">
        <f>O19/J19-1</f>
        <v>2.9754422743486497E-2</v>
      </c>
      <c r="P20" s="97">
        <f t="shared" ref="P20:S20" si="20">P19/K19-1</f>
        <v>2.5696027963339141E-2</v>
      </c>
      <c r="Q20" s="97">
        <f t="shared" si="20"/>
        <v>3.152039427467157E-2</v>
      </c>
      <c r="R20" s="97">
        <f t="shared" si="20"/>
        <v>3.72680904010807E-2</v>
      </c>
      <c r="S20" s="97">
        <f t="shared" si="20"/>
        <v>3.4343533062271225E-2</v>
      </c>
      <c r="T20" s="97">
        <f>T19/O19-1</f>
        <v>3.4343533062271225E-2</v>
      </c>
      <c r="U20" s="97">
        <f t="shared" ref="U20:W20" si="21">U19/T19-1</f>
        <v>4.0102900001603548E-2</v>
      </c>
      <c r="V20" s="97">
        <f t="shared" si="21"/>
        <v>3.952058253234414E-2</v>
      </c>
      <c r="W20" s="98">
        <f t="shared" si="21"/>
        <v>3.8968537782071655E-2</v>
      </c>
      <c r="AA20" s="71" t="s">
        <v>126</v>
      </c>
    </row>
    <row r="21" spans="1:27" x14ac:dyDescent="0.25">
      <c r="B21" s="136" t="s">
        <v>16</v>
      </c>
      <c r="C21" s="95" t="s">
        <v>76</v>
      </c>
      <c r="D21" s="97">
        <f>D19/D10</f>
        <v>0.15684989690976969</v>
      </c>
      <c r="E21" s="97">
        <f t="shared" ref="E21:W21" si="22">E19/E10</f>
        <v>0.15403971295717261</v>
      </c>
      <c r="F21" s="97">
        <v>0</v>
      </c>
      <c r="G21" s="97">
        <v>0</v>
      </c>
      <c r="H21" s="97">
        <v>0</v>
      </c>
      <c r="I21" s="97">
        <v>0</v>
      </c>
      <c r="J21" s="97">
        <f t="shared" si="22"/>
        <v>8.8823865630340629E-2</v>
      </c>
      <c r="K21" s="98">
        <f t="shared" si="22"/>
        <v>8.9128780124064028E-2</v>
      </c>
      <c r="L21" s="97">
        <f t="shared" si="22"/>
        <v>8.9246316954518845E-2</v>
      </c>
      <c r="M21" s="97">
        <f t="shared" si="22"/>
        <v>8.9081952312177512E-2</v>
      </c>
      <c r="N21" s="97">
        <f t="shared" si="22"/>
        <v>8.8668811227967728E-2</v>
      </c>
      <c r="O21" s="97">
        <f t="shared" si="22"/>
        <v>8.8668811227967728E-2</v>
      </c>
      <c r="P21" s="97">
        <f t="shared" si="22"/>
        <v>8.8727672863649479E-2</v>
      </c>
      <c r="Q21" s="97">
        <f t="shared" si="22"/>
        <v>8.9349181053118315E-2</v>
      </c>
      <c r="R21" s="97">
        <f t="shared" si="22"/>
        <v>8.9904657764296833E-2</v>
      </c>
      <c r="S21" s="97">
        <f t="shared" si="22"/>
        <v>8.9457370909748105E-2</v>
      </c>
      <c r="T21" s="97">
        <f t="shared" si="22"/>
        <v>8.9457370909748105E-2</v>
      </c>
      <c r="U21" s="97">
        <f t="shared" si="22"/>
        <v>9.0775483814388394E-2</v>
      </c>
      <c r="V21" s="97">
        <f t="shared" si="22"/>
        <v>9.2061447623793563E-2</v>
      </c>
      <c r="W21" s="98">
        <f t="shared" si="22"/>
        <v>9.3316046462237623E-2</v>
      </c>
    </row>
    <row r="22" spans="1:27" x14ac:dyDescent="0.25">
      <c r="B22" s="137" t="s">
        <v>22</v>
      </c>
      <c r="C22" s="108" t="s">
        <v>76</v>
      </c>
      <c r="D22" s="110">
        <v>0</v>
      </c>
      <c r="E22" s="110">
        <f>(E19-D19)/E10</f>
        <v>1.0154232891046325E-3</v>
      </c>
      <c r="F22" s="110">
        <v>0</v>
      </c>
      <c r="G22" s="110">
        <v>0</v>
      </c>
      <c r="H22" s="110">
        <v>0</v>
      </c>
      <c r="I22" s="110">
        <v>0</v>
      </c>
      <c r="J22" s="110">
        <f>(J19-E19)/J10</f>
        <v>2.1706153658861398E-3</v>
      </c>
      <c r="K22" s="111">
        <f>(K19-J19)/K10</f>
        <v>8.5154885468851694E-4</v>
      </c>
      <c r="L22" s="138">
        <v>1E-3</v>
      </c>
      <c r="M22" s="138">
        <v>5.0000000000000001E-4</v>
      </c>
      <c r="N22" s="138">
        <v>2.5000000000000001E-4</v>
      </c>
      <c r="O22" s="110">
        <f>K22+L22+M22+N22</f>
        <v>2.6015488546885174E-3</v>
      </c>
      <c r="P22" s="138">
        <v>5.0000000000000001E-4</v>
      </c>
      <c r="Q22" s="138">
        <v>1.5E-3</v>
      </c>
      <c r="R22" s="138">
        <v>1E-3</v>
      </c>
      <c r="S22" s="138">
        <v>5.0000000000000001E-4</v>
      </c>
      <c r="T22" s="139">
        <f>SUM(P22:S22)</f>
        <v>3.5000000000000001E-3</v>
      </c>
      <c r="U22" s="138">
        <f>T22</f>
        <v>3.5000000000000001E-3</v>
      </c>
      <c r="V22" s="139">
        <f t="shared" ref="V22:W22" si="23">U22</f>
        <v>3.5000000000000001E-3</v>
      </c>
      <c r="W22" s="140">
        <f t="shared" si="23"/>
        <v>3.5000000000000001E-3</v>
      </c>
      <c r="AA22" s="71" t="s">
        <v>42</v>
      </c>
    </row>
    <row r="23" spans="1:27" x14ac:dyDescent="0.25">
      <c r="K23" s="121"/>
    </row>
    <row r="24" spans="1:27" x14ac:dyDescent="0.25">
      <c r="B24" s="71" t="s">
        <v>24</v>
      </c>
      <c r="C24" s="118" t="s">
        <v>80</v>
      </c>
      <c r="D24" s="141">
        <f>D27/D19</f>
        <v>333.39866739410439</v>
      </c>
      <c r="E24" s="141">
        <f>E27/E19</f>
        <v>392.57745550428479</v>
      </c>
      <c r="F24" s="142">
        <f t="shared" ref="F24:I24" si="24">F27/F19</f>
        <v>100.71466314398943</v>
      </c>
      <c r="G24" s="142">
        <f t="shared" si="24"/>
        <v>100.08994708994707</v>
      </c>
      <c r="H24" s="142">
        <f t="shared" si="24"/>
        <v>102.07189542483661</v>
      </c>
      <c r="I24" s="142">
        <f t="shared" si="24"/>
        <v>104.73569131832799</v>
      </c>
      <c r="J24" s="141">
        <f>J27/J19</f>
        <v>400.54790996784573</v>
      </c>
      <c r="K24" s="143">
        <f>K27/K19</f>
        <v>103.26433121019107</v>
      </c>
      <c r="L24" s="144">
        <f>G24*(1+L25)</f>
        <v>106.0953439153439</v>
      </c>
      <c r="M24" s="144">
        <f t="shared" ref="M24:N24" si="25">H24*(1+M25)</f>
        <v>109.21692810457517</v>
      </c>
      <c r="N24" s="144">
        <f t="shared" si="25"/>
        <v>109.9724758842444</v>
      </c>
      <c r="O24" s="141">
        <f>SUM(K24:N24)</f>
        <v>428.54907911435453</v>
      </c>
      <c r="P24" s="185">
        <f>K24*(1+P25)</f>
        <v>109.46019108280254</v>
      </c>
      <c r="Q24" s="185">
        <f t="shared" ref="Q24:S24" si="26">L24*(1+Q25)</f>
        <v>113.52201798941799</v>
      </c>
      <c r="R24" s="185">
        <f t="shared" si="26"/>
        <v>116.86211307189545</v>
      </c>
      <c r="S24" s="185">
        <f t="shared" si="26"/>
        <v>116.57082443729907</v>
      </c>
      <c r="T24" s="141">
        <f>SUM(P24:S24)</f>
        <v>456.41514658141506</v>
      </c>
      <c r="U24" s="141">
        <f t="shared" ref="U24:W24" si="27">T24*(1+U25)</f>
        <v>488.36420684211413</v>
      </c>
      <c r="V24" s="141">
        <f t="shared" si="27"/>
        <v>517.66605925264105</v>
      </c>
      <c r="W24" s="141">
        <f t="shared" si="27"/>
        <v>543.54936221527316</v>
      </c>
    </row>
    <row r="25" spans="1:27" x14ac:dyDescent="0.25">
      <c r="B25" s="125" t="s">
        <v>9</v>
      </c>
      <c r="C25" s="263" t="s">
        <v>76</v>
      </c>
      <c r="D25" s="114">
        <v>0</v>
      </c>
      <c r="E25" s="126">
        <f>E24/D24-1</f>
        <v>0.17750157363474472</v>
      </c>
      <c r="F25" s="127">
        <v>0</v>
      </c>
      <c r="G25" s="127">
        <v>0</v>
      </c>
      <c r="H25" s="127">
        <v>0</v>
      </c>
      <c r="I25" s="127">
        <v>0</v>
      </c>
      <c r="J25" s="126">
        <f>J24/E24-1</f>
        <v>2.0302883804987015E-2</v>
      </c>
      <c r="K25" s="145">
        <f>K24/F24-1</f>
        <v>2.5315758268053212E-2</v>
      </c>
      <c r="L25" s="146">
        <v>0.06</v>
      </c>
      <c r="M25" s="146">
        <v>7.0000000000000007E-2</v>
      </c>
      <c r="N25" s="146">
        <v>0.05</v>
      </c>
      <c r="O25" s="126">
        <f>O24/J24-1</f>
        <v>6.9907165783879899E-2</v>
      </c>
      <c r="P25" s="187">
        <v>0.06</v>
      </c>
      <c r="Q25" s="187">
        <v>7.0000000000000007E-2</v>
      </c>
      <c r="R25" s="187">
        <v>7.0000000000000007E-2</v>
      </c>
      <c r="S25" s="187">
        <v>0.06</v>
      </c>
      <c r="T25" s="126">
        <f>T24/O24-1</f>
        <v>6.502421502024669E-2</v>
      </c>
      <c r="U25" s="130">
        <v>7.0000000000000007E-2</v>
      </c>
      <c r="V25" s="166">
        <f>U25+$Y$25</f>
        <v>6.0000000000000005E-2</v>
      </c>
      <c r="W25" s="166">
        <f>V25+$Y$25</f>
        <v>0.05</v>
      </c>
      <c r="Y25" s="248">
        <v>-0.01</v>
      </c>
      <c r="AA25" s="71" t="s">
        <v>41</v>
      </c>
    </row>
    <row r="26" spans="1:27" x14ac:dyDescent="0.25">
      <c r="B26" s="125"/>
      <c r="K26" s="145"/>
    </row>
    <row r="27" spans="1:27" x14ac:dyDescent="0.25">
      <c r="B27" s="89" t="s">
        <v>67</v>
      </c>
      <c r="C27" s="147" t="s">
        <v>80</v>
      </c>
      <c r="D27" s="148">
        <v>502.43179176291528</v>
      </c>
      <c r="E27" s="148">
        <v>595.54</v>
      </c>
      <c r="F27" s="148">
        <v>152.482</v>
      </c>
      <c r="G27" s="148">
        <v>151.33599999999998</v>
      </c>
      <c r="H27" s="148">
        <v>156.17000000000002</v>
      </c>
      <c r="I27" s="148">
        <v>162.86400000000003</v>
      </c>
      <c r="J27" s="149">
        <f>SUM(F27:I27)</f>
        <v>622.85200000000009</v>
      </c>
      <c r="K27" s="150">
        <v>162.125</v>
      </c>
      <c r="L27" s="279">
        <f>L19*L24</f>
        <v>168.45724396289026</v>
      </c>
      <c r="M27" s="279">
        <f t="shared" ref="M27:S27" si="28">M19*M24</f>
        <v>174.39249941226427</v>
      </c>
      <c r="N27" s="279">
        <f t="shared" si="28"/>
        <v>176.09542052097999</v>
      </c>
      <c r="O27" s="279">
        <f>SUM(K27:N27)</f>
        <v>681.07016389613455</v>
      </c>
      <c r="P27" s="279">
        <f t="shared" si="28"/>
        <v>176.26842664556972</v>
      </c>
      <c r="Q27" s="279">
        <f t="shared" si="28"/>
        <v>185.93077850079686</v>
      </c>
      <c r="R27" s="279">
        <f t="shared" si="28"/>
        <v>193.55419908482514</v>
      </c>
      <c r="S27" s="279">
        <f t="shared" si="28"/>
        <v>193.07174898282219</v>
      </c>
      <c r="T27" s="279">
        <f>T24*T19</f>
        <v>755.94275873139497</v>
      </c>
      <c r="U27" s="279">
        <f t="shared" ref="U27:W27" si="29">U24*U19</f>
        <v>841.29633348315804</v>
      </c>
      <c r="V27" s="279">
        <f t="shared" si="29"/>
        <v>927.01754594462204</v>
      </c>
      <c r="W27" s="280">
        <f t="shared" si="29"/>
        <v>1011.2991674188288</v>
      </c>
    </row>
    <row r="28" spans="1:27" x14ac:dyDescent="0.25">
      <c r="B28" s="137" t="s">
        <v>9</v>
      </c>
      <c r="C28" s="108" t="s">
        <v>76</v>
      </c>
      <c r="D28" s="151">
        <v>0</v>
      </c>
      <c r="E28" s="152">
        <f>E27/D27-1</f>
        <v>0.18531512090504831</v>
      </c>
      <c r="F28" s="152">
        <v>0</v>
      </c>
      <c r="G28" s="152">
        <v>0</v>
      </c>
      <c r="H28" s="152">
        <v>0</v>
      </c>
      <c r="I28" s="152">
        <v>0</v>
      </c>
      <c r="J28" s="152">
        <f>J27/E27-1</f>
        <v>4.5860899351849005E-2</v>
      </c>
      <c r="K28" s="111">
        <f>K27/F27-1</f>
        <v>6.3240251308351203E-2</v>
      </c>
      <c r="L28" s="152">
        <f>L27/G27-1</f>
        <v>0.11313397977275907</v>
      </c>
      <c r="M28" s="152">
        <f t="shared" ref="M28:N28" si="30">M27/H27-1</f>
        <v>0.11668373831250722</v>
      </c>
      <c r="N28" s="152">
        <f t="shared" si="30"/>
        <v>8.1242143880660755E-2</v>
      </c>
      <c r="O28" s="152">
        <f>O27/J27-1</f>
        <v>9.3470300964168862E-2</v>
      </c>
      <c r="P28" s="152">
        <f t="shared" ref="P28" si="31">P27/K27-1</f>
        <v>8.7237789641139374E-2</v>
      </c>
      <c r="Q28" s="152">
        <f t="shared" ref="Q28" si="32">Q27/L27-1</f>
        <v>0.1037268218738987</v>
      </c>
      <c r="R28" s="152">
        <f t="shared" ref="R28" si="33">R27/M27-1</f>
        <v>0.10987685672915659</v>
      </c>
      <c r="S28" s="152">
        <f t="shared" ref="S28" si="34">S27/N27-1</f>
        <v>9.6404145046007361E-2</v>
      </c>
      <c r="T28" s="152">
        <f>T27/O27-1</f>
        <v>0.10993374663036737</v>
      </c>
      <c r="U28" s="152">
        <f t="shared" ref="U28:W28" si="35">U27/T27-1</f>
        <v>0.11291010300171589</v>
      </c>
      <c r="V28" s="152">
        <f t="shared" si="35"/>
        <v>0.10189181748428489</v>
      </c>
      <c r="W28" s="153">
        <f t="shared" si="35"/>
        <v>9.091696467117516E-2</v>
      </c>
    </row>
    <row r="29" spans="1:27" x14ac:dyDescent="0.25">
      <c r="F29" s="114"/>
      <c r="G29" s="114"/>
      <c r="H29" s="114"/>
      <c r="I29" s="114"/>
    </row>
    <row r="30" spans="1:27" x14ac:dyDescent="0.25">
      <c r="A30" s="70" t="s">
        <v>1</v>
      </c>
      <c r="B30" s="75" t="s">
        <v>25</v>
      </c>
      <c r="C30" s="76" t="s">
        <v>2</v>
      </c>
      <c r="D30" s="154"/>
      <c r="E30" s="154"/>
      <c r="F30" s="154"/>
      <c r="G30" s="154"/>
      <c r="H30" s="154"/>
      <c r="I30" s="154"/>
      <c r="J30" s="154"/>
      <c r="K30" s="155"/>
      <c r="L30" s="156"/>
      <c r="M30" s="156"/>
      <c r="N30" s="156"/>
      <c r="O30" s="157"/>
      <c r="P30" s="157"/>
      <c r="Q30" s="157"/>
      <c r="R30" s="157"/>
      <c r="S30" s="157"/>
      <c r="T30" s="157"/>
      <c r="U30" s="157"/>
      <c r="V30" s="157"/>
      <c r="W30" s="157"/>
    </row>
    <row r="31" spans="1:27" ht="5.0999999999999996" customHeight="1" x14ac:dyDescent="0.25"/>
    <row r="32" spans="1:27" x14ac:dyDescent="0.25">
      <c r="B32" s="158" t="s">
        <v>26</v>
      </c>
      <c r="C32" s="118" t="s">
        <v>80</v>
      </c>
      <c r="E32" s="159">
        <v>7610.3329999999996</v>
      </c>
      <c r="F32" s="160">
        <v>7403.7240000000002</v>
      </c>
      <c r="G32" s="160">
        <v>7576.701</v>
      </c>
      <c r="H32" s="160">
        <v>8290.1650000000009</v>
      </c>
      <c r="I32" s="160">
        <v>8790.4439999999995</v>
      </c>
      <c r="J32" s="159">
        <v>7403.7240000000002</v>
      </c>
      <c r="K32" s="161">
        <v>8855.2170000000006</v>
      </c>
      <c r="L32" s="162">
        <f>K41</f>
        <v>8439.5010000000002</v>
      </c>
      <c r="M32" s="162">
        <f t="shared" ref="M32:N32" si="36">L41</f>
        <v>8940.5401690410945</v>
      </c>
      <c r="N32" s="162">
        <f t="shared" si="36"/>
        <v>9221.2262044779873</v>
      </c>
      <c r="O32" s="163">
        <f>J41</f>
        <v>8855.2170000000006</v>
      </c>
      <c r="P32" s="188">
        <f>O41</f>
        <v>9102.2728616188306</v>
      </c>
      <c r="Q32" s="162">
        <f>P41</f>
        <v>9110.8630871977111</v>
      </c>
      <c r="R32" s="162">
        <f t="shared" ref="R32:S32" si="37">Q41</f>
        <v>9600.3334028127865</v>
      </c>
      <c r="S32" s="162">
        <f t="shared" si="37"/>
        <v>9866.2629806603672</v>
      </c>
      <c r="T32" s="163">
        <f>O41</f>
        <v>9102.2728616188306</v>
      </c>
      <c r="U32" s="163">
        <f>T41</f>
        <v>9726.1007129775571</v>
      </c>
      <c r="V32" s="163">
        <f t="shared" ref="V32:W32" si="38">U41</f>
        <v>10391.866166436292</v>
      </c>
      <c r="W32" s="163">
        <f t="shared" si="38"/>
        <v>10993.573897204446</v>
      </c>
    </row>
    <row r="33" spans="2:23" x14ac:dyDescent="0.25">
      <c r="B33" s="164" t="s">
        <v>27</v>
      </c>
      <c r="C33" s="118" t="s">
        <v>80</v>
      </c>
      <c r="E33" s="180">
        <v>6800</v>
      </c>
      <c r="F33" s="181">
        <v>1500</v>
      </c>
      <c r="G33" s="181">
        <v>1700</v>
      </c>
      <c r="H33" s="181">
        <v>1900</v>
      </c>
      <c r="I33" s="181">
        <v>1600</v>
      </c>
      <c r="J33" s="202">
        <f>SUM(F33:I33)</f>
        <v>6700</v>
      </c>
      <c r="K33" s="182">
        <v>1300</v>
      </c>
      <c r="L33" s="144">
        <f>L34*L44</f>
        <v>1932.2676000000001</v>
      </c>
      <c r="M33" s="144">
        <f t="shared" ref="M33:N33" si="39">M34*M44</f>
        <v>1756.73784</v>
      </c>
      <c r="N33" s="144">
        <f t="shared" si="39"/>
        <v>1378.32294</v>
      </c>
      <c r="O33" s="202">
        <f>SUM(K33:N33)</f>
        <v>6367.3283799999999</v>
      </c>
      <c r="P33" s="144">
        <f>P34*P44</f>
        <v>1481.90904</v>
      </c>
      <c r="Q33" s="144">
        <f t="shared" ref="Q33" si="40">Q34*Q44</f>
        <v>1970.9129520000001</v>
      </c>
      <c r="R33" s="144">
        <f t="shared" ref="R33" si="41">R34*R44</f>
        <v>1791.8725968000001</v>
      </c>
      <c r="S33" s="144">
        <f t="shared" ref="S33:U33" si="42">S34*S44</f>
        <v>1405.8893988</v>
      </c>
      <c r="T33" s="202">
        <f>SUM(P33:S33)</f>
        <v>6650.5839876</v>
      </c>
      <c r="U33" s="141">
        <f t="shared" si="42"/>
        <v>6783.5956673520004</v>
      </c>
      <c r="V33" s="141">
        <f t="shared" ref="V33" si="43">V34*V44</f>
        <v>6919.267580699041</v>
      </c>
      <c r="W33" s="141">
        <f t="shared" ref="W33" si="44">W34*W44</f>
        <v>7057.6529323130217</v>
      </c>
    </row>
    <row r="34" spans="2:23" x14ac:dyDescent="0.25">
      <c r="B34" s="165" t="s">
        <v>28</v>
      </c>
      <c r="C34" s="118" t="s">
        <v>76</v>
      </c>
      <c r="E34" s="177">
        <f>E33/E44</f>
        <v>1.0101689849302098</v>
      </c>
      <c r="F34" s="178">
        <f t="shared" ref="F34:I34" si="45">F33/F44</f>
        <v>0.99412208747081432</v>
      </c>
      <c r="G34" s="178">
        <f t="shared" si="45"/>
        <v>0.89739123090404238</v>
      </c>
      <c r="H34" s="178">
        <f t="shared" si="45"/>
        <v>1.1031811098234214</v>
      </c>
      <c r="I34" s="178">
        <f t="shared" si="45"/>
        <v>1.1840476223953726</v>
      </c>
      <c r="J34" s="177">
        <f t="shared" ref="J34:K34" si="46">J33/J44</f>
        <v>1.0344553932026708</v>
      </c>
      <c r="K34" s="179">
        <f t="shared" si="46"/>
        <v>0.8947917613081029</v>
      </c>
      <c r="L34" s="146">
        <v>1</v>
      </c>
      <c r="M34" s="241">
        <f>L34</f>
        <v>1</v>
      </c>
      <c r="N34" s="241">
        <f>M34</f>
        <v>1</v>
      </c>
      <c r="O34" s="177">
        <f t="shared" ref="O34" si="47">O33/O44</f>
        <v>0.97655709028099003</v>
      </c>
      <c r="P34" s="241">
        <f>L34</f>
        <v>1</v>
      </c>
      <c r="Q34" s="241">
        <f>P34</f>
        <v>1</v>
      </c>
      <c r="R34" s="241">
        <f t="shared" ref="R34:S34" si="48">Q34</f>
        <v>1</v>
      </c>
      <c r="S34" s="241">
        <f t="shared" si="48"/>
        <v>1</v>
      </c>
      <c r="T34" s="177">
        <f t="shared" ref="T34" si="49">T33/T44</f>
        <v>1</v>
      </c>
      <c r="U34" s="242">
        <f>T34</f>
        <v>1</v>
      </c>
      <c r="V34" s="242">
        <f t="shared" ref="V34:W34" si="50">U34</f>
        <v>1</v>
      </c>
      <c r="W34" s="242">
        <f t="shared" si="50"/>
        <v>1</v>
      </c>
    </row>
    <row r="35" spans="2:23" x14ac:dyDescent="0.25">
      <c r="B35" s="167" t="s">
        <v>29</v>
      </c>
      <c r="C35" s="118" t="s">
        <v>80</v>
      </c>
      <c r="E35" s="180">
        <v>-3500</v>
      </c>
      <c r="F35" s="181">
        <v>-600</v>
      </c>
      <c r="G35" s="181">
        <v>-600</v>
      </c>
      <c r="H35" s="181">
        <v>-600</v>
      </c>
      <c r="I35" s="181">
        <v>-700</v>
      </c>
      <c r="J35" s="202">
        <f>SUM(F35:I35)</f>
        <v>-2500</v>
      </c>
      <c r="K35" s="182">
        <v>-900</v>
      </c>
      <c r="L35" s="176">
        <v>-600</v>
      </c>
      <c r="M35" s="237">
        <f>L35</f>
        <v>-600</v>
      </c>
      <c r="N35" s="237">
        <f>M35</f>
        <v>-600</v>
      </c>
      <c r="O35" s="141">
        <f>SUM(K35:N35)</f>
        <v>-2700</v>
      </c>
      <c r="P35" s="237">
        <f>L35</f>
        <v>-600</v>
      </c>
      <c r="Q35" s="237">
        <f>P35</f>
        <v>-600</v>
      </c>
      <c r="R35" s="237">
        <f t="shared" ref="R35:S35" si="51">Q35</f>
        <v>-600</v>
      </c>
      <c r="S35" s="237">
        <f t="shared" si="51"/>
        <v>-600</v>
      </c>
      <c r="T35" s="141">
        <f>SUM(P35:S35)</f>
        <v>-2400</v>
      </c>
      <c r="U35" s="236">
        <f>T35</f>
        <v>-2400</v>
      </c>
      <c r="V35" s="236">
        <f t="shared" ref="V35:W35" si="52">U35</f>
        <v>-2400</v>
      </c>
      <c r="W35" s="236">
        <f t="shared" si="52"/>
        <v>-2400</v>
      </c>
    </row>
    <row r="36" spans="2:23" x14ac:dyDescent="0.25">
      <c r="B36" s="167" t="s">
        <v>44</v>
      </c>
      <c r="C36" s="118" t="s">
        <v>80</v>
      </c>
      <c r="E36" s="180">
        <v>-2100</v>
      </c>
      <c r="F36" s="181">
        <v>-500</v>
      </c>
      <c r="G36" s="181">
        <v>-600</v>
      </c>
      <c r="H36" s="181">
        <v>-600</v>
      </c>
      <c r="I36" s="181">
        <v>-600</v>
      </c>
      <c r="J36" s="202">
        <f>SUM(F36:I36)</f>
        <v>-2300</v>
      </c>
      <c r="K36" s="182">
        <v>-600</v>
      </c>
      <c r="L36" s="191">
        <f>-L32*L37*L4/O4</f>
        <v>-631.22843095890414</v>
      </c>
      <c r="M36" s="191">
        <f>-M32*M37*M4/O4</f>
        <v>-676.05180456310745</v>
      </c>
      <c r="N36" s="191">
        <f>-N32*N37*N4/O4</f>
        <v>-697.27628285915739</v>
      </c>
      <c r="O36" s="141">
        <f>SUM(K36:N36)</f>
        <v>-2604.5565183811686</v>
      </c>
      <c r="P36" s="191">
        <f>-P32*P37*P4/T4</f>
        <v>-673.31881442111899</v>
      </c>
      <c r="Q36" s="191">
        <f>-Q32*Q37*Q4/T4</f>
        <v>-681.44263638492464</v>
      </c>
      <c r="R36" s="191">
        <f>-R32*R37*R4/T4</f>
        <v>-725.94301895241892</v>
      </c>
      <c r="S36" s="191">
        <f>-S32*S37*S4/T4</f>
        <v>-746.05166648281136</v>
      </c>
      <c r="T36" s="141">
        <f>SUM(P36:S36)</f>
        <v>-2826.7561362412739</v>
      </c>
      <c r="U36" s="193">
        <f>-U32*U37*U4/U4</f>
        <v>-2917.8302138932672</v>
      </c>
      <c r="V36" s="193">
        <f>-V32*V37*V4/V4</f>
        <v>-3117.5598499308876</v>
      </c>
      <c r="W36" s="193">
        <f>-W32*W37*W4/W4</f>
        <v>-3298.0721691613335</v>
      </c>
    </row>
    <row r="37" spans="2:23" x14ac:dyDescent="0.25">
      <c r="B37" s="165" t="s">
        <v>30</v>
      </c>
      <c r="C37" s="118" t="s">
        <v>76</v>
      </c>
      <c r="E37" s="177">
        <f>-E36/E32*E4/E4</f>
        <v>0.27594061915556128</v>
      </c>
      <c r="F37" s="178">
        <f>-F36/F32*$J$4/F4</f>
        <v>0.27388619264815622</v>
      </c>
      <c r="G37" s="178">
        <f t="shared" ref="G37:I37" si="53">-G36/G32*$J$4/G4</f>
        <v>0.31763077447472277</v>
      </c>
      <c r="H37" s="178">
        <f t="shared" si="53"/>
        <v>0.28713961454430587</v>
      </c>
      <c r="I37" s="178">
        <f t="shared" si="53"/>
        <v>0.27079801459501884</v>
      </c>
      <c r="J37" s="177">
        <f>-J36/J32*J4/J4</f>
        <v>0.31065447604475799</v>
      </c>
      <c r="K37" s="179">
        <f>-K36/K32*O4/K4</f>
        <v>0.27479093209498229</v>
      </c>
      <c r="L37" s="190">
        <v>0.3</v>
      </c>
      <c r="M37" s="240">
        <f>L37</f>
        <v>0.3</v>
      </c>
      <c r="N37" s="240">
        <f>M37</f>
        <v>0.3</v>
      </c>
      <c r="O37" s="177">
        <f>-O36/O32*O4/O4</f>
        <v>0.29412678632055755</v>
      </c>
      <c r="P37" s="240">
        <f>L37</f>
        <v>0.3</v>
      </c>
      <c r="Q37" s="240">
        <f>P37</f>
        <v>0.3</v>
      </c>
      <c r="R37" s="240">
        <f t="shared" ref="R37:S37" si="54">Q37</f>
        <v>0.3</v>
      </c>
      <c r="S37" s="240">
        <f t="shared" si="54"/>
        <v>0.3</v>
      </c>
      <c r="T37" s="177">
        <f>-T36/T32*T4/T4</f>
        <v>0.31055497667629117</v>
      </c>
      <c r="U37" s="177">
        <f>P37</f>
        <v>0.3</v>
      </c>
      <c r="V37" s="177">
        <f>U37</f>
        <v>0.3</v>
      </c>
      <c r="W37" s="177">
        <f>V37</f>
        <v>0.3</v>
      </c>
    </row>
    <row r="38" spans="2:23" x14ac:dyDescent="0.25">
      <c r="B38" s="167" t="s">
        <v>43</v>
      </c>
      <c r="C38" s="118" t="s">
        <v>80</v>
      </c>
      <c r="E38" s="180">
        <v>-1000</v>
      </c>
      <c r="F38" s="181">
        <v>-200</v>
      </c>
      <c r="G38" s="181">
        <v>-200</v>
      </c>
      <c r="H38" s="181">
        <v>-200</v>
      </c>
      <c r="I38" s="181">
        <v>-300</v>
      </c>
      <c r="J38" s="202">
        <f>SUM(F38:I38)</f>
        <v>-900</v>
      </c>
      <c r="K38" s="182">
        <v>-300</v>
      </c>
      <c r="L38" s="176">
        <v>-200</v>
      </c>
      <c r="M38" s="237">
        <f>L38</f>
        <v>-200</v>
      </c>
      <c r="N38" s="237">
        <f>M38</f>
        <v>-200</v>
      </c>
      <c r="O38" s="141">
        <f>SUM(K38:N38)</f>
        <v>-900</v>
      </c>
      <c r="P38" s="237">
        <f>L38</f>
        <v>-200</v>
      </c>
      <c r="Q38" s="237">
        <f>P38</f>
        <v>-200</v>
      </c>
      <c r="R38" s="237">
        <f t="shared" ref="R38:S38" si="55">Q38</f>
        <v>-200</v>
      </c>
      <c r="S38" s="237">
        <f t="shared" si="55"/>
        <v>-200</v>
      </c>
      <c r="T38" s="141">
        <f>SUM(P38:S38)</f>
        <v>-800</v>
      </c>
      <c r="U38" s="236">
        <f>T38</f>
        <v>-800</v>
      </c>
      <c r="V38" s="236">
        <f>U38</f>
        <v>-800</v>
      </c>
      <c r="W38" s="236">
        <f>V38</f>
        <v>-800</v>
      </c>
    </row>
    <row r="39" spans="2:23" x14ac:dyDescent="0.25">
      <c r="B39" s="167" t="s">
        <v>45</v>
      </c>
      <c r="C39" s="118" t="s">
        <v>80</v>
      </c>
      <c r="E39" s="183">
        <v>-400</v>
      </c>
      <c r="F39" s="176">
        <v>0</v>
      </c>
      <c r="G39" s="176">
        <v>400</v>
      </c>
      <c r="H39" s="176">
        <v>0</v>
      </c>
      <c r="I39" s="176">
        <v>100</v>
      </c>
      <c r="J39" s="175">
        <f>SUM(F39,G39,H39,I39)</f>
        <v>500</v>
      </c>
      <c r="K39" s="182">
        <v>0</v>
      </c>
      <c r="L39" s="176">
        <v>0</v>
      </c>
      <c r="M39" s="176">
        <v>0</v>
      </c>
      <c r="N39" s="176">
        <v>0</v>
      </c>
      <c r="O39" s="175">
        <f>SUM(K39,L39,M39,N39)</f>
        <v>0</v>
      </c>
      <c r="P39" s="176">
        <v>0</v>
      </c>
      <c r="Q39" s="176">
        <v>0</v>
      </c>
      <c r="R39" s="176">
        <v>0</v>
      </c>
      <c r="S39" s="176">
        <v>0</v>
      </c>
      <c r="T39" s="175">
        <f>SUM(P39,Q39,R39,S39)</f>
        <v>0</v>
      </c>
      <c r="U39" s="189">
        <v>0</v>
      </c>
      <c r="V39" s="189">
        <v>0</v>
      </c>
      <c r="W39" s="189">
        <v>0</v>
      </c>
    </row>
    <row r="40" spans="2:23" x14ac:dyDescent="0.25">
      <c r="B40" s="167" t="s">
        <v>31</v>
      </c>
      <c r="C40" s="118" t="s">
        <v>80</v>
      </c>
      <c r="E40" s="180">
        <v>-6.6089999999994689</v>
      </c>
      <c r="F40" s="181">
        <v>-27.023000000000138</v>
      </c>
      <c r="G40" s="181">
        <v>13.464000000000851</v>
      </c>
      <c r="H40" s="181">
        <v>0.27899999999863212</v>
      </c>
      <c r="I40" s="181">
        <v>-35.226999999998952</v>
      </c>
      <c r="J40" s="141">
        <f>SUM(F40:I40)</f>
        <v>-48.506999999999607</v>
      </c>
      <c r="K40" s="182">
        <v>84.283999999999651</v>
      </c>
      <c r="L40" s="176">
        <v>0</v>
      </c>
      <c r="M40" s="176">
        <v>0</v>
      </c>
      <c r="N40" s="176">
        <v>0</v>
      </c>
      <c r="O40" s="175">
        <f>SUM(K40,L40,M40,N40)</f>
        <v>84.283999999999651</v>
      </c>
      <c r="P40" s="176">
        <v>0</v>
      </c>
      <c r="Q40" s="176">
        <v>0</v>
      </c>
      <c r="R40" s="176">
        <v>0</v>
      </c>
      <c r="S40" s="176">
        <v>0</v>
      </c>
      <c r="T40" s="175">
        <f>SUM(P40,Q40,R40,S40)</f>
        <v>0</v>
      </c>
      <c r="U40" s="189">
        <v>0</v>
      </c>
      <c r="V40" s="189">
        <v>0</v>
      </c>
      <c r="W40" s="189">
        <v>0</v>
      </c>
    </row>
    <row r="41" spans="2:23" x14ac:dyDescent="0.25">
      <c r="B41" s="158" t="s">
        <v>32</v>
      </c>
      <c r="C41" s="118" t="s">
        <v>80</v>
      </c>
      <c r="E41" s="195">
        <f>E32+E33+E35+E36+E38+E39+E40</f>
        <v>7403.7239999999993</v>
      </c>
      <c r="F41" s="196">
        <f t="shared" ref="F41:L41" si="56">F32+F33+F35+F36+F38+F39+F40</f>
        <v>7576.701</v>
      </c>
      <c r="G41" s="196">
        <f t="shared" si="56"/>
        <v>8290.1650000000009</v>
      </c>
      <c r="H41" s="196">
        <f t="shared" si="56"/>
        <v>8790.4439999999995</v>
      </c>
      <c r="I41" s="196">
        <f t="shared" si="56"/>
        <v>8855.2170000000006</v>
      </c>
      <c r="J41" s="195">
        <f t="shared" si="56"/>
        <v>8855.2170000000006</v>
      </c>
      <c r="K41" s="197">
        <f t="shared" si="56"/>
        <v>8439.5010000000002</v>
      </c>
      <c r="L41" s="198">
        <f t="shared" si="56"/>
        <v>8940.5401690410945</v>
      </c>
      <c r="M41" s="198">
        <f t="shared" ref="M41" si="57">M32+M33+M35+M36+M38+M39+M40</f>
        <v>9221.2262044779873</v>
      </c>
      <c r="N41" s="198">
        <f t="shared" ref="N41:O41" si="58">N32+N33+N35+N36+N38+N39+N40</f>
        <v>9102.2728616188306</v>
      </c>
      <c r="O41" s="195">
        <f t="shared" si="58"/>
        <v>9102.2728616188306</v>
      </c>
      <c r="P41" s="198">
        <f t="shared" ref="P41:Q41" si="59">P32+P33+P35+P36+P38+P39+P40</f>
        <v>9110.8630871977111</v>
      </c>
      <c r="Q41" s="198">
        <f t="shared" si="59"/>
        <v>9600.3334028127865</v>
      </c>
      <c r="R41" s="198">
        <f t="shared" ref="R41" si="60">R32+R33+R35+R36+R38+R39+R40</f>
        <v>9866.2629806603672</v>
      </c>
      <c r="S41" s="198">
        <f t="shared" ref="S41" si="61">S32+S33+S35+S36+S38+S39+S40</f>
        <v>9726.1007129775553</v>
      </c>
      <c r="T41" s="195">
        <f t="shared" ref="T41" si="62">T32+T33+T35+T36+T38+T39+T40</f>
        <v>9726.1007129775571</v>
      </c>
      <c r="U41" s="195">
        <f t="shared" ref="U41" si="63">U32+U33+U35+U36+U38+U39+U40</f>
        <v>10391.866166436292</v>
      </c>
      <c r="V41" s="195">
        <f t="shared" ref="V41" si="64">V32+V33+V35+V36+V38+V39+V40</f>
        <v>10993.573897204446</v>
      </c>
      <c r="W41" s="195">
        <f t="shared" ref="W41" si="65">W32+W33+W35+W36+W38+W39+W40</f>
        <v>11553.154660356133</v>
      </c>
    </row>
    <row r="42" spans="2:23" x14ac:dyDescent="0.25">
      <c r="B42" s="168" t="s">
        <v>33</v>
      </c>
      <c r="C42" s="118" t="s">
        <v>80</v>
      </c>
      <c r="E42" s="199">
        <v>7980.1440000000002</v>
      </c>
      <c r="F42" s="200">
        <v>7618.35</v>
      </c>
      <c r="G42" s="200">
        <v>7987.7510000000002</v>
      </c>
      <c r="H42" s="200">
        <v>8532.7039999999997</v>
      </c>
      <c r="I42" s="200">
        <v>8793.4079999999994</v>
      </c>
      <c r="J42" s="199">
        <v>8233.0529999999999</v>
      </c>
      <c r="K42" s="201">
        <v>8839.6180000000004</v>
      </c>
      <c r="L42" s="192">
        <f>AVERAGE(L32,L41)</f>
        <v>8690.0205845205473</v>
      </c>
      <c r="M42" s="192">
        <f t="shared" ref="M42:N42" si="66">AVERAGE(M32,M41)</f>
        <v>9080.88318675954</v>
      </c>
      <c r="N42" s="192">
        <f t="shared" si="66"/>
        <v>9161.7495330484089</v>
      </c>
      <c r="O42" s="195">
        <f>(K42*K4+L42*L4+M42*M4+N42*N4)/O4</f>
        <v>8944.3279545580845</v>
      </c>
      <c r="P42" s="192">
        <f>AVERAGE(P32,P41)</f>
        <v>9106.5679744082699</v>
      </c>
      <c r="Q42" s="192">
        <f>AVERAGE(Q32,Q41)</f>
        <v>9355.5982450052488</v>
      </c>
      <c r="R42" s="192">
        <f t="shared" ref="R42:W42" si="67">AVERAGE(R32,R41)</f>
        <v>9733.298191736576</v>
      </c>
      <c r="S42" s="192">
        <f t="shared" si="67"/>
        <v>9796.1818468189613</v>
      </c>
      <c r="T42" s="195">
        <f>(P42*P4+Q42*Q4+R42*R4+S42*S4)/T4</f>
        <v>9500.4458124365228</v>
      </c>
      <c r="U42" s="194">
        <f t="shared" si="67"/>
        <v>10058.983439706924</v>
      </c>
      <c r="V42" s="194">
        <f t="shared" si="67"/>
        <v>10692.720031820369</v>
      </c>
      <c r="W42" s="194">
        <f t="shared" si="67"/>
        <v>11273.364278780289</v>
      </c>
    </row>
    <row r="44" spans="2:23" x14ac:dyDescent="0.25">
      <c r="B44" s="158" t="s">
        <v>34</v>
      </c>
      <c r="C44" s="118" t="s">
        <v>80</v>
      </c>
      <c r="D44" s="214" t="s">
        <v>54</v>
      </c>
      <c r="E44" s="199">
        <v>6731.5470000000005</v>
      </c>
      <c r="F44" s="69">
        <v>1508.8689999999999</v>
      </c>
      <c r="G44" s="69">
        <v>1894.38</v>
      </c>
      <c r="H44" s="69">
        <v>1722.2919999999999</v>
      </c>
      <c r="I44" s="69">
        <v>1351.297</v>
      </c>
      <c r="J44" s="199">
        <v>6476.8379999999997</v>
      </c>
      <c r="K44" s="230">
        <v>1452.8520000000001</v>
      </c>
      <c r="L44" s="231">
        <f>G44*(1+L45)</f>
        <v>1932.2676000000001</v>
      </c>
      <c r="M44" s="231">
        <f t="shared" ref="M44:P44" si="68">H44*(1+M45)</f>
        <v>1756.73784</v>
      </c>
      <c r="N44" s="231">
        <f t="shared" si="68"/>
        <v>1378.32294</v>
      </c>
      <c r="O44" s="195">
        <f>SUM(K44:N44)</f>
        <v>6520.1803799999998</v>
      </c>
      <c r="P44" s="231">
        <f t="shared" si="68"/>
        <v>1481.90904</v>
      </c>
      <c r="Q44" s="231">
        <f t="shared" ref="Q44" si="69">L44*(1+Q45)</f>
        <v>1970.9129520000001</v>
      </c>
      <c r="R44" s="231">
        <f t="shared" ref="R44" si="70">M44*(1+R45)</f>
        <v>1791.8725968000001</v>
      </c>
      <c r="S44" s="231">
        <f t="shared" ref="S44" si="71">N44*(1+S45)</f>
        <v>1405.8893988</v>
      </c>
      <c r="T44" s="195">
        <f>O44*(1+T45)</f>
        <v>6650.5839876</v>
      </c>
      <c r="U44" s="195">
        <f t="shared" ref="U44:W44" si="72">T44*(1+U45)</f>
        <v>6783.5956673520004</v>
      </c>
      <c r="V44" s="195">
        <f t="shared" si="72"/>
        <v>6919.267580699041</v>
      </c>
      <c r="W44" s="195">
        <f t="shared" si="72"/>
        <v>7057.6529323130217</v>
      </c>
    </row>
    <row r="45" spans="2:23" x14ac:dyDescent="0.25">
      <c r="B45" s="125" t="s">
        <v>9</v>
      </c>
      <c r="C45" s="118" t="s">
        <v>76</v>
      </c>
      <c r="D45" s="169"/>
      <c r="E45" s="169">
        <v>0</v>
      </c>
      <c r="F45" s="170">
        <v>0</v>
      </c>
      <c r="G45" s="170">
        <v>0</v>
      </c>
      <c r="H45" s="170">
        <v>0</v>
      </c>
      <c r="I45" s="170">
        <v>0</v>
      </c>
      <c r="J45" s="171">
        <f>J44/E44-1</f>
        <v>-3.7838107644498464E-2</v>
      </c>
      <c r="K45" s="145">
        <f>K44/F44-1</f>
        <v>-3.7125157982568324E-2</v>
      </c>
      <c r="L45" s="172">
        <v>0.02</v>
      </c>
      <c r="M45" s="243">
        <f>L45</f>
        <v>0.02</v>
      </c>
      <c r="N45" s="243">
        <f>M45</f>
        <v>0.02</v>
      </c>
      <c r="O45" s="206">
        <f t="shared" ref="O45" si="73">O44/J44-1</f>
        <v>6.6919042903341719E-3</v>
      </c>
      <c r="P45" s="178">
        <f>L45</f>
        <v>0.02</v>
      </c>
      <c r="Q45" s="243">
        <f>P45</f>
        <v>0.02</v>
      </c>
      <c r="R45" s="243">
        <f t="shared" ref="R45:S45" si="74">Q45</f>
        <v>0.02</v>
      </c>
      <c r="S45" s="243">
        <f t="shared" si="74"/>
        <v>0.02</v>
      </c>
      <c r="T45" s="177">
        <f>AVERAGE(P45:S45)</f>
        <v>0.02</v>
      </c>
      <c r="U45" s="177">
        <f>T45</f>
        <v>0.02</v>
      </c>
      <c r="V45" s="177">
        <f t="shared" ref="V45:W45" si="75">U45</f>
        <v>0.02</v>
      </c>
      <c r="W45" s="177">
        <f t="shared" si="75"/>
        <v>0.02</v>
      </c>
    </row>
    <row r="47" spans="2:23" x14ac:dyDescent="0.25">
      <c r="B47" s="158" t="s">
        <v>35</v>
      </c>
      <c r="C47" s="118" t="s">
        <v>76</v>
      </c>
      <c r="E47" s="209">
        <f>E50/E42*E4/E4</f>
        <v>7.8768378114480134E-2</v>
      </c>
      <c r="F47" s="211">
        <f>F50/F42*$J$4/F4</f>
        <v>7.8106581842233264E-2</v>
      </c>
      <c r="G47" s="211">
        <f t="shared" ref="G47:I47" si="76">G50/G42*$J$4/G4</f>
        <v>7.7997287607977778E-2</v>
      </c>
      <c r="H47" s="211">
        <f t="shared" si="76"/>
        <v>7.4957143663394107E-2</v>
      </c>
      <c r="I47" s="211">
        <f t="shared" si="76"/>
        <v>6.8018676974941836E-2</v>
      </c>
      <c r="J47" s="209">
        <f>J50/J42*J4/J4</f>
        <v>7.4579988735648847E-2</v>
      </c>
      <c r="K47" s="210">
        <f>K50/K42*$O$4/K4</f>
        <v>7.0151755677928862E-2</v>
      </c>
      <c r="L47" s="278">
        <v>7.0000000000000007E-2</v>
      </c>
      <c r="M47" s="212">
        <f t="shared" ref="M47:N47" si="77">L47</f>
        <v>7.0000000000000007E-2</v>
      </c>
      <c r="N47" s="212">
        <f t="shared" si="77"/>
        <v>7.0000000000000007E-2</v>
      </c>
      <c r="O47" s="209">
        <f>O50/O42*O4/O4</f>
        <v>7.0036981146993929E-2</v>
      </c>
      <c r="P47" s="212">
        <f>O47</f>
        <v>7.0036981146993929E-2</v>
      </c>
      <c r="Q47" s="212">
        <f t="shared" ref="Q47:S47" si="78">P47</f>
        <v>7.0036981146993929E-2</v>
      </c>
      <c r="R47" s="212">
        <f t="shared" si="78"/>
        <v>7.0036981146993929E-2</v>
      </c>
      <c r="S47" s="212">
        <f t="shared" si="78"/>
        <v>7.0036981146993929E-2</v>
      </c>
      <c r="T47" s="209">
        <f>T50/T42*T4/T4</f>
        <v>7.0036981146993943E-2</v>
      </c>
      <c r="U47" s="213">
        <f>T47</f>
        <v>7.0036981146993943E-2</v>
      </c>
      <c r="V47" s="213">
        <f t="shared" ref="V47:W47" si="79">U47</f>
        <v>7.0036981146993943E-2</v>
      </c>
      <c r="W47" s="213">
        <f t="shared" si="79"/>
        <v>7.0036981146993943E-2</v>
      </c>
    </row>
    <row r="48" spans="2:23" x14ac:dyDescent="0.25">
      <c r="B48" s="158" t="s">
        <v>36</v>
      </c>
      <c r="C48" s="118" t="s">
        <v>76</v>
      </c>
      <c r="E48" s="203">
        <f>E53/E42*$E$4/E4</f>
        <v>0.1124429584228054</v>
      </c>
      <c r="F48" s="204">
        <f>F53/F42*$J$4/F4</f>
        <v>0.11884765803035506</v>
      </c>
      <c r="G48" s="204">
        <f t="shared" ref="G48:I48" si="80">G53/G42*$J$4/G4</f>
        <v>0.12294657074395451</v>
      </c>
      <c r="H48" s="204">
        <f t="shared" si="80"/>
        <v>0.11817777556339346</v>
      </c>
      <c r="I48" s="204">
        <f t="shared" si="80"/>
        <v>0.11678288613668233</v>
      </c>
      <c r="J48" s="203">
        <f>J53/J42*J4/J4</f>
        <v>0.11916660806143238</v>
      </c>
      <c r="K48" s="205">
        <f>K53/K42*O4/K4</f>
        <v>0.13017427776730725</v>
      </c>
      <c r="L48" s="278">
        <v>0.13</v>
      </c>
      <c r="M48" s="212">
        <f t="shared" ref="M48:N48" si="81">L48</f>
        <v>0.13</v>
      </c>
      <c r="N48" s="212">
        <f t="shared" si="81"/>
        <v>0.13</v>
      </c>
      <c r="O48" s="203">
        <f>O53/O42*O4/O4</f>
        <v>0.13004246952613913</v>
      </c>
      <c r="P48" s="212">
        <f>O48</f>
        <v>0.13004246952613913</v>
      </c>
      <c r="Q48" s="212">
        <f>P48</f>
        <v>0.13004246952613913</v>
      </c>
      <c r="R48" s="212">
        <f t="shared" ref="R48:S48" si="82">Q48</f>
        <v>0.13004246952613913</v>
      </c>
      <c r="S48" s="212">
        <f t="shared" si="82"/>
        <v>0.13004246952613913</v>
      </c>
      <c r="T48" s="203">
        <f>T53/T42*T4/T4</f>
        <v>0.13004246952613918</v>
      </c>
      <c r="U48" s="213">
        <f>T48</f>
        <v>0.13004246952613918</v>
      </c>
      <c r="V48" s="213">
        <f t="shared" ref="V48:W48" si="83">U48</f>
        <v>0.13004246952613918</v>
      </c>
      <c r="W48" s="213">
        <f t="shared" si="83"/>
        <v>0.13004246952613918</v>
      </c>
    </row>
    <row r="50" spans="1:25" x14ac:dyDescent="0.25">
      <c r="B50" s="158" t="s">
        <v>46</v>
      </c>
      <c r="C50" s="118" t="s">
        <v>80</v>
      </c>
      <c r="D50" s="199">
        <v>521.50274058772618</v>
      </c>
      <c r="E50" s="199">
        <v>628.58299999999997</v>
      </c>
      <c r="F50" s="200">
        <v>146.72300000000001</v>
      </c>
      <c r="G50" s="200">
        <v>155.32900000000001</v>
      </c>
      <c r="H50" s="200">
        <v>161.21100000000001</v>
      </c>
      <c r="I50" s="200">
        <v>150.75799999999992</v>
      </c>
      <c r="J50" s="232">
        <f>SUM(F50:I50)</f>
        <v>614.02099999999996</v>
      </c>
      <c r="K50" s="230">
        <v>152.905</v>
      </c>
      <c r="L50" s="231">
        <f>L42*L47*L4/$O$4</f>
        <v>151.65871540656408</v>
      </c>
      <c r="M50" s="231">
        <f t="shared" ref="M50:N50" si="84">M42*M47*M4/$O$4</f>
        <v>160.22161019926423</v>
      </c>
      <c r="N50" s="231">
        <f t="shared" si="84"/>
        <v>161.64840272008701</v>
      </c>
      <c r="O50" s="232">
        <f>SUM(K50:N50)</f>
        <v>626.43372832591535</v>
      </c>
      <c r="P50" s="231">
        <f>P42*P47*P4/$T$4</f>
        <v>157.26489769416594</v>
      </c>
      <c r="Q50" s="231">
        <f>Q42*Q47*Q4/$T$4</f>
        <v>163.36067142271145</v>
      </c>
      <c r="R50" s="231">
        <f>R42*R47*R4/$T$4</f>
        <v>171.82344005383746</v>
      </c>
      <c r="S50" s="231">
        <f>S42*S47*S4/$T$4</f>
        <v>172.93353508293947</v>
      </c>
      <c r="T50" s="232">
        <f>SUM(P50:S50)</f>
        <v>665.38254425365426</v>
      </c>
      <c r="U50" s="195">
        <f>U42*U47*U4/U4</f>
        <v>704.50083352467811</v>
      </c>
      <c r="V50" s="195">
        <f t="shared" ref="V50:W50" si="85">V42*V47*V4/V4</f>
        <v>748.88583127868753</v>
      </c>
      <c r="W50" s="195">
        <f t="shared" si="85"/>
        <v>789.55240145613004</v>
      </c>
    </row>
    <row r="51" spans="1:25" x14ac:dyDescent="0.25">
      <c r="B51" s="125" t="s">
        <v>9</v>
      </c>
      <c r="C51" s="118" t="s">
        <v>76</v>
      </c>
      <c r="D51" s="114">
        <v>0</v>
      </c>
      <c r="E51" s="171">
        <f>E50/D50-1</f>
        <v>0.20533019498918814</v>
      </c>
      <c r="F51" s="184">
        <v>0</v>
      </c>
      <c r="G51" s="184">
        <v>0</v>
      </c>
      <c r="H51" s="184">
        <v>0</v>
      </c>
      <c r="I51" s="184">
        <v>0</v>
      </c>
      <c r="J51" s="171">
        <f>J50/E50-1</f>
        <v>-2.3166391709607215E-2</v>
      </c>
      <c r="K51" s="207">
        <f>K50/F50-1</f>
        <v>4.213381678400796E-2</v>
      </c>
      <c r="L51" s="208">
        <f t="shared" ref="L51:N51" si="86">L50/G50-1</f>
        <v>-2.3629100769566036E-2</v>
      </c>
      <c r="M51" s="208">
        <f t="shared" si="86"/>
        <v>-6.1372350567627798E-3</v>
      </c>
      <c r="N51" s="208">
        <f t="shared" si="86"/>
        <v>7.2237643906705395E-2</v>
      </c>
      <c r="O51" s="171">
        <f>O50/J50-1</f>
        <v>2.0215478503040396E-2</v>
      </c>
      <c r="P51" s="208">
        <f>P50/K50-1</f>
        <v>2.8513767987743632E-2</v>
      </c>
      <c r="Q51" s="208">
        <f t="shared" ref="Q51" si="87">Q50/L50-1</f>
        <v>7.7159799123821982E-2</v>
      </c>
      <c r="R51" s="208">
        <f t="shared" ref="R51" si="88">R50/M50-1</f>
        <v>7.241114254278358E-2</v>
      </c>
      <c r="S51" s="208">
        <f t="shared" ref="S51" si="89">S50/N50-1</f>
        <v>6.9812829406016297E-2</v>
      </c>
      <c r="T51" s="171">
        <f>T50/O50-1</f>
        <v>6.2175477096078291E-2</v>
      </c>
      <c r="U51" s="171">
        <f>U50/T50-1</f>
        <v>5.8790675542746751E-2</v>
      </c>
      <c r="V51" s="171">
        <f t="shared" ref="V51:W51" si="90">V50/U50-1</f>
        <v>6.3002051441085616E-2</v>
      </c>
      <c r="W51" s="171">
        <f t="shared" si="90"/>
        <v>5.4302763490672756E-2</v>
      </c>
    </row>
    <row r="52" spans="1:25" ht="5.0999999999999996" customHeight="1" x14ac:dyDescent="0.25"/>
    <row r="53" spans="1:25" x14ac:dyDescent="0.25">
      <c r="B53" s="158" t="s">
        <v>47</v>
      </c>
      <c r="C53" s="118" t="s">
        <v>80</v>
      </c>
      <c r="D53" s="199">
        <v>803.28445450292077</v>
      </c>
      <c r="E53" s="199">
        <v>897.31100000000004</v>
      </c>
      <c r="F53" s="200">
        <v>223.255</v>
      </c>
      <c r="G53" s="200">
        <v>244.84399999999999</v>
      </c>
      <c r="H53" s="200">
        <v>254.166</v>
      </c>
      <c r="I53" s="200">
        <v>258.84000000000003</v>
      </c>
      <c r="J53" s="199">
        <v>981.10500000000002</v>
      </c>
      <c r="K53" s="230">
        <v>283.73200000000003</v>
      </c>
      <c r="L53" s="231">
        <f>L48*L42*L4/$O$4</f>
        <v>281.65190004076186</v>
      </c>
      <c r="M53" s="231">
        <f t="shared" ref="M53:N53" si="91">M48*M42*M4/$O$4</f>
        <v>297.55441894149067</v>
      </c>
      <c r="N53" s="231">
        <f t="shared" si="91"/>
        <v>300.20417648016155</v>
      </c>
      <c r="O53" s="232">
        <f>SUM(K53:N53)</f>
        <v>1163.142495462414</v>
      </c>
      <c r="P53" s="231">
        <f>P48*P42*P4/$T$4</f>
        <v>292.00452862184437</v>
      </c>
      <c r="Q53" s="231">
        <f>Q48*Q42*Q4/$T$4</f>
        <v>303.32297005593296</v>
      </c>
      <c r="R53" s="231">
        <f t="shared" ref="R53:S53" si="92">R48*R42*R4/$T$4</f>
        <v>319.03637337224944</v>
      </c>
      <c r="S53" s="231">
        <f t="shared" si="92"/>
        <v>321.09756299848607</v>
      </c>
      <c r="T53" s="232">
        <f>SUM(P53:S53)</f>
        <v>1235.4614350485131</v>
      </c>
      <c r="U53" s="195">
        <f>U48*U42*U4/U4</f>
        <v>1308.0950474220265</v>
      </c>
      <c r="V53" s="195">
        <f t="shared" ref="V53:W53" si="93">V48*V42*V4/V4</f>
        <v>1390.5077188895382</v>
      </c>
      <c r="W53" s="195">
        <f t="shared" si="93"/>
        <v>1466.0161306803516</v>
      </c>
    </row>
    <row r="54" spans="1:25" x14ac:dyDescent="0.25">
      <c r="B54" s="125" t="s">
        <v>9</v>
      </c>
      <c r="C54" s="118" t="s">
        <v>76</v>
      </c>
      <c r="D54" s="114">
        <v>0</v>
      </c>
      <c r="E54" s="171">
        <f>E53/D53-1</f>
        <v>0.11705261438834103</v>
      </c>
      <c r="F54" s="184">
        <v>0</v>
      </c>
      <c r="G54" s="184">
        <v>0</v>
      </c>
      <c r="H54" s="184">
        <v>0</v>
      </c>
      <c r="I54" s="184">
        <v>0</v>
      </c>
      <c r="J54" s="171">
        <f>J53/E53-1</f>
        <v>9.3383453451478804E-2</v>
      </c>
      <c r="K54" s="207">
        <f>K53/F53-1</f>
        <v>0.27088755011085985</v>
      </c>
      <c r="L54" s="208">
        <f t="shared" ref="L54:N54" si="94">L53/G53-1</f>
        <v>0.15033204832775926</v>
      </c>
      <c r="M54" s="208">
        <f t="shared" si="94"/>
        <v>0.17070898130155365</v>
      </c>
      <c r="N54" s="208">
        <f t="shared" si="94"/>
        <v>0.15980596693000115</v>
      </c>
      <c r="O54" s="171">
        <f>O53/J53-1</f>
        <v>0.18554333681146673</v>
      </c>
      <c r="P54" s="208">
        <f>P53/K53-1</f>
        <v>2.9156135444166731E-2</v>
      </c>
      <c r="Q54" s="208">
        <f t="shared" ref="Q54" si="95">Q53/L53-1</f>
        <v>7.6942743904922173E-2</v>
      </c>
      <c r="R54" s="208">
        <f t="shared" ref="R54" si="96">R53/M53-1</f>
        <v>7.2195044211334158E-2</v>
      </c>
      <c r="S54" s="208">
        <f t="shared" ref="S54" si="97">S53/N53-1</f>
        <v>6.9597254652802087E-2</v>
      </c>
      <c r="T54" s="171">
        <f>T53/O53-1</f>
        <v>6.2175477096078735E-2</v>
      </c>
      <c r="U54" s="171">
        <f>U53/T53-1</f>
        <v>5.8790675542746751E-2</v>
      </c>
      <c r="V54" s="171">
        <f t="shared" ref="V54:W54" si="98">V53/U53-1</f>
        <v>6.3002051441085616E-2</v>
      </c>
      <c r="W54" s="171">
        <f t="shared" si="98"/>
        <v>5.4302763490672756E-2</v>
      </c>
    </row>
    <row r="56" spans="1:25" x14ac:dyDescent="0.25">
      <c r="B56" s="71" t="s">
        <v>48</v>
      </c>
      <c r="C56" s="118" t="s">
        <v>80</v>
      </c>
      <c r="D56" s="180">
        <v>-483.40158649720019</v>
      </c>
      <c r="E56" s="180">
        <v>-523.44000000000005</v>
      </c>
      <c r="F56" s="181">
        <v>-130.208</v>
      </c>
      <c r="G56" s="181">
        <v>-140.554</v>
      </c>
      <c r="H56" s="181">
        <v>-150.066</v>
      </c>
      <c r="I56" s="181">
        <v>-152.28399999999999</v>
      </c>
      <c r="J56" s="202">
        <f>SUM(F56:I56)</f>
        <v>-573.11199999999997</v>
      </c>
      <c r="K56" s="182">
        <v>-170.10599999999999</v>
      </c>
      <c r="L56" s="144">
        <f>K56</f>
        <v>-170.10599999999999</v>
      </c>
      <c r="M56" s="144">
        <f t="shared" ref="M56:N56" si="99">L56</f>
        <v>-170.10599999999999</v>
      </c>
      <c r="N56" s="144">
        <f t="shared" si="99"/>
        <v>-170.10599999999999</v>
      </c>
      <c r="O56" s="141">
        <f>SUM(K56:N56)</f>
        <v>-680.42399999999998</v>
      </c>
      <c r="P56" s="142">
        <f>K56+$Y$56/4</f>
        <v>-180.10599999999999</v>
      </c>
      <c r="Q56" s="142">
        <f t="shared" ref="Q56:S56" si="100">L56+$Y$56/4</f>
        <v>-180.10599999999999</v>
      </c>
      <c r="R56" s="142">
        <f t="shared" si="100"/>
        <v>-180.10599999999999</v>
      </c>
      <c r="S56" s="142">
        <f t="shared" si="100"/>
        <v>-180.10599999999999</v>
      </c>
      <c r="T56" s="141">
        <f>SUM(P56:S56)</f>
        <v>-720.42399999999998</v>
      </c>
      <c r="U56" s="141">
        <f>T56+$Y$56</f>
        <v>-760.42399999999998</v>
      </c>
      <c r="V56" s="141">
        <f t="shared" ref="V56:W56" si="101">U56+$Y$56</f>
        <v>-800.42399999999998</v>
      </c>
      <c r="W56" s="141">
        <f t="shared" si="101"/>
        <v>-840.42399999999998</v>
      </c>
      <c r="Y56" s="247">
        <v>-40</v>
      </c>
    </row>
    <row r="57" spans="1:25" x14ac:dyDescent="0.25">
      <c r="B57" s="71" t="s">
        <v>49</v>
      </c>
      <c r="C57" s="118" t="s">
        <v>80</v>
      </c>
      <c r="D57" s="180">
        <v>-430.67053152331522</v>
      </c>
      <c r="E57" s="180">
        <v>-553.32399999999996</v>
      </c>
      <c r="F57" s="181">
        <v>-128.214</v>
      </c>
      <c r="G57" s="181">
        <v>-132.53700000000001</v>
      </c>
      <c r="H57" s="181">
        <v>-135.10300000000001</v>
      </c>
      <c r="I57" s="181">
        <v>-127.84300000000002</v>
      </c>
      <c r="J57" s="202">
        <f>SUM(F57:I57)</f>
        <v>-523.697</v>
      </c>
      <c r="K57" s="182">
        <v>-129.01300000000001</v>
      </c>
      <c r="L57" s="144">
        <f>-'Debt Build'!L10*'Debt Build'!L13*'Debt Build'!L4/'Debt Build'!$O$4</f>
        <v>-138.96393419798969</v>
      </c>
      <c r="M57" s="144">
        <f>-'Debt Build'!M10*'Debt Build'!M13*'Debt Build'!M4/'Debt Build'!$O$4</f>
        <v>-146.06402028333699</v>
      </c>
      <c r="N57" s="144">
        <f>-'Debt Build'!N10*'Debt Build'!N13*'Debt Build'!N4/'Debt Build'!$O$4</f>
        <v>-147.36473777982442</v>
      </c>
      <c r="O57" s="202">
        <f>SUM(K57:N57)</f>
        <v>-561.4056922611511</v>
      </c>
      <c r="P57" s="144">
        <f>-'Debt Build'!P10*'Debt Build'!P13*'Debt Build'!P4/'Debt Build'!$O$4</f>
        <v>-143.29286850913778</v>
      </c>
      <c r="Q57" s="144">
        <f>-'Debt Build'!Q10*'Debt Build'!Q13*'Debt Build'!Q4/'Debt Build'!$O$4</f>
        <v>-148.84706983539044</v>
      </c>
      <c r="R57" s="144">
        <f>-'Debt Build'!R10*'Debt Build'!R13*'Debt Build'!R4/'Debt Build'!$O$4</f>
        <v>-156.55797297056722</v>
      </c>
      <c r="S57" s="144">
        <f>-'Debt Build'!S10*'Debt Build'!S13*'Debt Build'!S4/'Debt Build'!$O$4</f>
        <v>-157.56944281139019</v>
      </c>
      <c r="T57" s="202">
        <f>SUM(P57:S57)</f>
        <v>-606.26735412648566</v>
      </c>
      <c r="U57" s="141">
        <f>-'Debt Build'!U10*'Debt Build'!U13*'Debt Build'!U4/'Debt Build'!U4</f>
        <v>-641.91022143509508</v>
      </c>
      <c r="V57" s="141">
        <f>-'Debt Build'!V10*'Debt Build'!V13*'Debt Build'!V4/'Debt Build'!V4</f>
        <v>-682.35188222650766</v>
      </c>
      <c r="W57" s="141">
        <f>-'Debt Build'!W10*'Debt Build'!W13*'Debt Build'!W4/'Debt Build'!W4</f>
        <v>-719.40547510446913</v>
      </c>
    </row>
    <row r="59" spans="1:25" x14ac:dyDescent="0.25">
      <c r="B59" s="89" t="s">
        <v>66</v>
      </c>
      <c r="C59" s="147" t="s">
        <v>80</v>
      </c>
      <c r="D59" s="234">
        <f>D50+D53+D56+D57</f>
        <v>410.71507707013149</v>
      </c>
      <c r="E59" s="234">
        <f>E50+E53+E56+E57</f>
        <v>449.13</v>
      </c>
      <c r="F59" s="234">
        <f t="shared" ref="F59:W59" si="102">F50+F53+F56+F57</f>
        <v>111.55600000000001</v>
      </c>
      <c r="G59" s="234">
        <f t="shared" si="102"/>
        <v>127.08200000000002</v>
      </c>
      <c r="H59" s="234">
        <f t="shared" si="102"/>
        <v>130.20800000000003</v>
      </c>
      <c r="I59" s="234">
        <f t="shared" si="102"/>
        <v>129.47099999999995</v>
      </c>
      <c r="J59" s="234">
        <f t="shared" si="102"/>
        <v>498.31700000000001</v>
      </c>
      <c r="K59" s="235">
        <f t="shared" si="102"/>
        <v>137.51800000000006</v>
      </c>
      <c r="L59" s="234">
        <f t="shared" si="102"/>
        <v>124.24068124933629</v>
      </c>
      <c r="M59" s="234">
        <f t="shared" si="102"/>
        <v>141.60600885741789</v>
      </c>
      <c r="N59" s="234">
        <f t="shared" si="102"/>
        <v>144.38184142042414</v>
      </c>
      <c r="O59" s="234">
        <f t="shared" si="102"/>
        <v>547.74653152717826</v>
      </c>
      <c r="P59" s="234">
        <f t="shared" si="102"/>
        <v>125.87055780687254</v>
      </c>
      <c r="Q59" s="234">
        <f t="shared" si="102"/>
        <v>137.73057164325397</v>
      </c>
      <c r="R59" s="234">
        <f t="shared" si="102"/>
        <v>154.19584045551971</v>
      </c>
      <c r="S59" s="234">
        <f t="shared" si="102"/>
        <v>156.35565527003533</v>
      </c>
      <c r="T59" s="234">
        <f t="shared" si="102"/>
        <v>574.15262517568169</v>
      </c>
      <c r="U59" s="234">
        <f t="shared" si="102"/>
        <v>610.26165951160965</v>
      </c>
      <c r="V59" s="234">
        <f t="shared" si="102"/>
        <v>656.6176679417182</v>
      </c>
      <c r="W59" s="235">
        <f t="shared" si="102"/>
        <v>695.73905703201262</v>
      </c>
    </row>
    <row r="60" spans="1:25" x14ac:dyDescent="0.25">
      <c r="B60" s="137" t="s">
        <v>9</v>
      </c>
      <c r="C60" s="108" t="s">
        <v>76</v>
      </c>
      <c r="D60" s="109">
        <v>0</v>
      </c>
      <c r="E60" s="110">
        <f>E59/D59-1</f>
        <v>9.3531806048865906E-2</v>
      </c>
      <c r="F60" s="110">
        <v>0</v>
      </c>
      <c r="G60" s="110">
        <v>0</v>
      </c>
      <c r="H60" s="110">
        <v>0</v>
      </c>
      <c r="I60" s="110">
        <v>0</v>
      </c>
      <c r="J60" s="110">
        <f>J59/E59-1</f>
        <v>0.10951617571749828</v>
      </c>
      <c r="K60" s="111">
        <f>K59/F59-1</f>
        <v>0.2327261644375922</v>
      </c>
      <c r="L60" s="110">
        <f>L59/G59-1</f>
        <v>-2.235815261534857E-2</v>
      </c>
      <c r="M60" s="110">
        <f t="shared" ref="M60" si="103">M59/H59-1</f>
        <v>8.7536932119515409E-2</v>
      </c>
      <c r="N60" s="110">
        <f t="shared" ref="N60" si="104">N59/I59-1</f>
        <v>0.11516742297830551</v>
      </c>
      <c r="O60" s="110">
        <f>O59/J59-1</f>
        <v>9.9192946512316915E-2</v>
      </c>
      <c r="P60" s="110">
        <v>0.05</v>
      </c>
      <c r="Q60" s="110">
        <v>0.06</v>
      </c>
      <c r="R60" s="110">
        <v>7.0000000000000007E-2</v>
      </c>
      <c r="S60" s="110">
        <v>0.05</v>
      </c>
      <c r="T60" s="110">
        <f>T59/O59-1</f>
        <v>4.8208600381056455E-2</v>
      </c>
      <c r="U60" s="110">
        <f t="shared" ref="U60" si="105">U59/T59-1</f>
        <v>6.2891002762339054E-2</v>
      </c>
      <c r="V60" s="110">
        <f t="shared" ref="V60" si="106">V59/U59-1</f>
        <v>7.5960873024871089E-2</v>
      </c>
      <c r="W60" s="111">
        <f t="shared" ref="W60" si="107">W59/V59-1</f>
        <v>5.9580165140738828E-2</v>
      </c>
    </row>
    <row r="62" spans="1:25" x14ac:dyDescent="0.25">
      <c r="A62" s="70" t="s">
        <v>1</v>
      </c>
      <c r="B62" s="75" t="s">
        <v>63</v>
      </c>
      <c r="C62" s="76"/>
      <c r="D62" s="154"/>
      <c r="E62" s="154"/>
      <c r="F62" s="154"/>
      <c r="G62" s="154"/>
      <c r="H62" s="154"/>
      <c r="I62" s="154"/>
      <c r="J62" s="154"/>
      <c r="K62" s="155"/>
      <c r="L62" s="156"/>
      <c r="M62" s="156"/>
      <c r="N62" s="156"/>
      <c r="O62" s="157"/>
      <c r="P62" s="157"/>
      <c r="Q62" s="157"/>
      <c r="R62" s="157"/>
      <c r="S62" s="157"/>
      <c r="T62" s="157"/>
      <c r="U62" s="157"/>
      <c r="V62" s="157"/>
      <c r="W62" s="157"/>
    </row>
    <row r="63" spans="1:25" ht="5.0999999999999996" customHeight="1" x14ac:dyDescent="0.25"/>
    <row r="64" spans="1:25" x14ac:dyDescent="0.25">
      <c r="B64" s="89" t="s">
        <v>63</v>
      </c>
      <c r="C64" s="147" t="s">
        <v>80</v>
      </c>
      <c r="D64" s="238">
        <v>45.553521445156186</v>
      </c>
      <c r="E64" s="238">
        <v>42.89</v>
      </c>
      <c r="F64" s="238">
        <v>11.632999999999999</v>
      </c>
      <c r="G64" s="238">
        <v>11.608000000000001</v>
      </c>
      <c r="H64" s="238">
        <v>20.012</v>
      </c>
      <c r="I64" s="238">
        <v>21.087999999999994</v>
      </c>
      <c r="J64" s="234">
        <f>SUM(F64:I64)</f>
        <v>64.340999999999994</v>
      </c>
      <c r="K64" s="239">
        <v>23.873000000000001</v>
      </c>
      <c r="L64" s="238">
        <v>20</v>
      </c>
      <c r="M64" s="234">
        <f>L64</f>
        <v>20</v>
      </c>
      <c r="N64" s="234">
        <f>M64</f>
        <v>20</v>
      </c>
      <c r="O64" s="234">
        <f>SUM(K64:N64)</f>
        <v>83.873000000000005</v>
      </c>
      <c r="P64" s="234">
        <f>L64</f>
        <v>20</v>
      </c>
      <c r="Q64" s="234">
        <f>P64</f>
        <v>20</v>
      </c>
      <c r="R64" s="234">
        <f t="shared" ref="R64:S64" si="108">Q64</f>
        <v>20</v>
      </c>
      <c r="S64" s="234">
        <f t="shared" si="108"/>
        <v>20</v>
      </c>
      <c r="T64" s="234">
        <f>SUM(P64:S64)</f>
        <v>80</v>
      </c>
      <c r="U64" s="234">
        <f>T64</f>
        <v>80</v>
      </c>
      <c r="V64" s="234">
        <f t="shared" ref="V64:W64" si="109">U64</f>
        <v>80</v>
      </c>
      <c r="W64" s="235">
        <f t="shared" si="109"/>
        <v>80</v>
      </c>
    </row>
    <row r="65" spans="1:23" x14ac:dyDescent="0.25">
      <c r="B65" s="137" t="s">
        <v>9</v>
      </c>
      <c r="C65" s="108" t="s">
        <v>76</v>
      </c>
      <c r="D65" s="109">
        <v>0</v>
      </c>
      <c r="E65" s="110">
        <f>E64/D64-1</f>
        <v>-5.8470154680860698E-2</v>
      </c>
      <c r="F65" s="110">
        <v>0</v>
      </c>
      <c r="G65" s="110">
        <v>0</v>
      </c>
      <c r="H65" s="110">
        <v>0</v>
      </c>
      <c r="I65" s="110">
        <v>0</v>
      </c>
      <c r="J65" s="110">
        <f>J64/E64-1</f>
        <v>0.50013989274889226</v>
      </c>
      <c r="K65" s="111">
        <f>K64/F64-1</f>
        <v>1.0521791455342564</v>
      </c>
      <c r="L65" s="110">
        <f>L64/G64-1</f>
        <v>0.72294968986905572</v>
      </c>
      <c r="M65" s="110">
        <f t="shared" ref="M65" si="110">M64/H64-1</f>
        <v>-5.9964021587044503E-4</v>
      </c>
      <c r="N65" s="110">
        <f t="shared" ref="N65" si="111">N64/I64-1</f>
        <v>-5.1593323216995168E-2</v>
      </c>
      <c r="O65" s="110">
        <f>O64/J64-1</f>
        <v>0.30357004087595807</v>
      </c>
      <c r="P65" s="110">
        <v>0.05</v>
      </c>
      <c r="Q65" s="110">
        <v>0.06</v>
      </c>
      <c r="R65" s="110">
        <v>7.0000000000000007E-2</v>
      </c>
      <c r="S65" s="110">
        <v>0.05</v>
      </c>
      <c r="T65" s="110">
        <f>T64/O64-1</f>
        <v>-4.6176958019863434E-2</v>
      </c>
      <c r="U65" s="110">
        <f t="shared" ref="U65" si="112">U64/T64-1</f>
        <v>0</v>
      </c>
      <c r="V65" s="110">
        <f t="shared" ref="V65" si="113">V64/U64-1</f>
        <v>0</v>
      </c>
      <c r="W65" s="111">
        <f t="shared" ref="W65" si="114">W64/V64-1</f>
        <v>0</v>
      </c>
    </row>
    <row r="66" spans="1:23" ht="5.0999999999999996" customHeight="1" x14ac:dyDescent="0.25"/>
    <row r="67" spans="1:23" x14ac:dyDescent="0.25">
      <c r="A67" s="70" t="s">
        <v>1</v>
      </c>
      <c r="B67" s="75" t="s">
        <v>64</v>
      </c>
      <c r="C67" s="76"/>
      <c r="D67" s="154"/>
      <c r="E67" s="154"/>
      <c r="F67" s="154"/>
      <c r="G67" s="154"/>
      <c r="H67" s="154"/>
      <c r="I67" s="154"/>
      <c r="J67" s="154"/>
      <c r="K67" s="155"/>
      <c r="L67" s="156"/>
      <c r="M67" s="156"/>
      <c r="N67" s="156"/>
      <c r="O67" s="157"/>
      <c r="P67" s="157"/>
      <c r="Q67" s="157"/>
      <c r="R67" s="157"/>
      <c r="S67" s="157"/>
      <c r="T67" s="157"/>
      <c r="U67" s="157"/>
      <c r="V67" s="157"/>
      <c r="W67" s="157"/>
    </row>
    <row r="68" spans="1:23" ht="5.0999999999999996" customHeight="1" x14ac:dyDescent="0.25"/>
    <row r="69" spans="1:23" x14ac:dyDescent="0.25">
      <c r="B69" s="244" t="s">
        <v>67</v>
      </c>
      <c r="C69" s="147" t="s">
        <v>80</v>
      </c>
      <c r="D69" s="245">
        <f>D27</f>
        <v>502.43179176291528</v>
      </c>
      <c r="E69" s="245">
        <f t="shared" ref="E69:W69" si="115">E27</f>
        <v>595.54</v>
      </c>
      <c r="F69" s="245">
        <f t="shared" si="115"/>
        <v>152.482</v>
      </c>
      <c r="G69" s="245">
        <f t="shared" si="115"/>
        <v>151.33599999999998</v>
      </c>
      <c r="H69" s="245">
        <f t="shared" si="115"/>
        <v>156.17000000000002</v>
      </c>
      <c r="I69" s="245">
        <f t="shared" si="115"/>
        <v>162.86400000000003</v>
      </c>
      <c r="J69" s="245">
        <f t="shared" si="115"/>
        <v>622.85200000000009</v>
      </c>
      <c r="K69" s="246">
        <f t="shared" si="115"/>
        <v>162.125</v>
      </c>
      <c r="L69" s="245">
        <f t="shared" si="115"/>
        <v>168.45724396289026</v>
      </c>
      <c r="M69" s="245">
        <f t="shared" si="115"/>
        <v>174.39249941226427</v>
      </c>
      <c r="N69" s="245">
        <f t="shared" si="115"/>
        <v>176.09542052097999</v>
      </c>
      <c r="O69" s="245">
        <f t="shared" si="115"/>
        <v>681.07016389613455</v>
      </c>
      <c r="P69" s="245">
        <f t="shared" si="115"/>
        <v>176.26842664556972</v>
      </c>
      <c r="Q69" s="245">
        <f t="shared" si="115"/>
        <v>185.93077850079686</v>
      </c>
      <c r="R69" s="245">
        <f t="shared" si="115"/>
        <v>193.55419908482514</v>
      </c>
      <c r="S69" s="245">
        <f t="shared" si="115"/>
        <v>193.07174898282219</v>
      </c>
      <c r="T69" s="245">
        <f t="shared" si="115"/>
        <v>755.94275873139497</v>
      </c>
      <c r="U69" s="245">
        <f t="shared" si="115"/>
        <v>841.29633348315804</v>
      </c>
      <c r="V69" s="245">
        <f t="shared" si="115"/>
        <v>927.01754594462204</v>
      </c>
      <c r="W69" s="246">
        <f t="shared" si="115"/>
        <v>1011.2991674188288</v>
      </c>
    </row>
    <row r="70" spans="1:23" x14ac:dyDescent="0.25">
      <c r="B70" s="137" t="s">
        <v>9</v>
      </c>
      <c r="C70" s="108" t="s">
        <v>76</v>
      </c>
      <c r="D70" s="109">
        <v>0</v>
      </c>
      <c r="E70" s="110">
        <f>E69/D69-1</f>
        <v>0.18531512090504831</v>
      </c>
      <c r="F70" s="110">
        <v>0</v>
      </c>
      <c r="G70" s="110">
        <v>0</v>
      </c>
      <c r="H70" s="110">
        <v>0</v>
      </c>
      <c r="I70" s="110">
        <v>0</v>
      </c>
      <c r="J70" s="110">
        <f>J69/E69-1</f>
        <v>4.5860899351849005E-2</v>
      </c>
      <c r="K70" s="111">
        <f>K69/F69-1</f>
        <v>6.3240251308351203E-2</v>
      </c>
      <c r="L70" s="110">
        <f>L69/G69-1</f>
        <v>0.11313397977275907</v>
      </c>
      <c r="M70" s="110">
        <f t="shared" ref="M70" si="116">M69/H69-1</f>
        <v>0.11668373831250722</v>
      </c>
      <c r="N70" s="110">
        <f t="shared" ref="N70" si="117">N69/I69-1</f>
        <v>8.1242143880660755E-2</v>
      </c>
      <c r="O70" s="110">
        <f>O69/J69-1</f>
        <v>9.3470300964168862E-2</v>
      </c>
      <c r="P70" s="110">
        <v>0.05</v>
      </c>
      <c r="Q70" s="110">
        <v>0.06</v>
      </c>
      <c r="R70" s="110">
        <v>7.0000000000000007E-2</v>
      </c>
      <c r="S70" s="110">
        <v>0.05</v>
      </c>
      <c r="T70" s="110">
        <f>T69/O69-1</f>
        <v>0.10993374663036737</v>
      </c>
      <c r="U70" s="110">
        <f t="shared" ref="U70" si="118">U69/T69-1</f>
        <v>0.11291010300171589</v>
      </c>
      <c r="V70" s="110">
        <f t="shared" ref="V70" si="119">V69/U69-1</f>
        <v>0.10189181748428489</v>
      </c>
      <c r="W70" s="111">
        <f t="shared" ref="W70" si="120">W69/V69-1</f>
        <v>9.091696467117516E-2</v>
      </c>
    </row>
    <row r="71" spans="1:23" ht="5.0999999999999996" customHeight="1" x14ac:dyDescent="0.25"/>
    <row r="72" spans="1:23" x14ac:dyDescent="0.25">
      <c r="B72" s="244" t="s">
        <v>66</v>
      </c>
      <c r="C72" s="147" t="s">
        <v>80</v>
      </c>
      <c r="D72" s="245">
        <f>D59</f>
        <v>410.71507707013149</v>
      </c>
      <c r="E72" s="245">
        <f t="shared" ref="E72:W72" si="121">E59</f>
        <v>449.13</v>
      </c>
      <c r="F72" s="245">
        <f t="shared" si="121"/>
        <v>111.55600000000001</v>
      </c>
      <c r="G72" s="245">
        <f t="shared" si="121"/>
        <v>127.08200000000002</v>
      </c>
      <c r="H72" s="245">
        <f t="shared" si="121"/>
        <v>130.20800000000003</v>
      </c>
      <c r="I72" s="245">
        <f t="shared" si="121"/>
        <v>129.47099999999995</v>
      </c>
      <c r="J72" s="245">
        <f t="shared" si="121"/>
        <v>498.31700000000001</v>
      </c>
      <c r="K72" s="246">
        <f t="shared" si="121"/>
        <v>137.51800000000006</v>
      </c>
      <c r="L72" s="245">
        <f t="shared" si="121"/>
        <v>124.24068124933629</v>
      </c>
      <c r="M72" s="245">
        <f t="shared" si="121"/>
        <v>141.60600885741789</v>
      </c>
      <c r="N72" s="245">
        <f t="shared" si="121"/>
        <v>144.38184142042414</v>
      </c>
      <c r="O72" s="245">
        <f t="shared" si="121"/>
        <v>547.74653152717826</v>
      </c>
      <c r="P72" s="245">
        <f t="shared" si="121"/>
        <v>125.87055780687254</v>
      </c>
      <c r="Q72" s="245">
        <f t="shared" si="121"/>
        <v>137.73057164325397</v>
      </c>
      <c r="R72" s="245">
        <f t="shared" si="121"/>
        <v>154.19584045551971</v>
      </c>
      <c r="S72" s="245">
        <f t="shared" si="121"/>
        <v>156.35565527003533</v>
      </c>
      <c r="T72" s="245">
        <f t="shared" si="121"/>
        <v>574.15262517568169</v>
      </c>
      <c r="U72" s="245">
        <f t="shared" si="121"/>
        <v>610.26165951160965</v>
      </c>
      <c r="V72" s="245">
        <f t="shared" si="121"/>
        <v>656.6176679417182</v>
      </c>
      <c r="W72" s="246">
        <f t="shared" si="121"/>
        <v>695.73905703201262</v>
      </c>
    </row>
    <row r="73" spans="1:23" x14ac:dyDescent="0.25">
      <c r="B73" s="137" t="s">
        <v>9</v>
      </c>
      <c r="C73" s="108" t="s">
        <v>76</v>
      </c>
      <c r="D73" s="109">
        <v>0</v>
      </c>
      <c r="E73" s="110">
        <f>E72/D72-1</f>
        <v>9.3531806048865906E-2</v>
      </c>
      <c r="F73" s="110">
        <v>0</v>
      </c>
      <c r="G73" s="110">
        <v>0</v>
      </c>
      <c r="H73" s="110">
        <v>0</v>
      </c>
      <c r="I73" s="110">
        <v>0</v>
      </c>
      <c r="J73" s="110">
        <f>J72/E72-1</f>
        <v>0.10951617571749828</v>
      </c>
      <c r="K73" s="111">
        <f>K72/F72-1</f>
        <v>0.2327261644375922</v>
      </c>
      <c r="L73" s="110">
        <f>L72/G72-1</f>
        <v>-2.235815261534857E-2</v>
      </c>
      <c r="M73" s="110">
        <f t="shared" ref="M73" si="122">M72/H72-1</f>
        <v>8.7536932119515409E-2</v>
      </c>
      <c r="N73" s="110">
        <f t="shared" ref="N73" si="123">N72/I72-1</f>
        <v>0.11516742297830551</v>
      </c>
      <c r="O73" s="110">
        <f>O72/J72-1</f>
        <v>9.9192946512316915E-2</v>
      </c>
      <c r="P73" s="110">
        <v>0.05</v>
      </c>
      <c r="Q73" s="110">
        <v>0.06</v>
      </c>
      <c r="R73" s="110">
        <v>7.0000000000000007E-2</v>
      </c>
      <c r="S73" s="110">
        <v>0.05</v>
      </c>
      <c r="T73" s="110">
        <f>T72/O72-1</f>
        <v>4.8208600381056455E-2</v>
      </c>
      <c r="U73" s="110">
        <f t="shared" ref="U73" si="124">U72/T72-1</f>
        <v>6.2891002762339054E-2</v>
      </c>
      <c r="V73" s="110">
        <f t="shared" ref="V73" si="125">V72/U72-1</f>
        <v>7.5960873024871089E-2</v>
      </c>
      <c r="W73" s="111">
        <f t="shared" ref="W73" si="126">W72/V72-1</f>
        <v>5.9580165140738828E-2</v>
      </c>
    </row>
    <row r="74" spans="1:23" ht="5.0999999999999996" customHeight="1" x14ac:dyDescent="0.25"/>
    <row r="75" spans="1:23" x14ac:dyDescent="0.25">
      <c r="B75" s="244" t="s">
        <v>63</v>
      </c>
      <c r="C75" s="147" t="s">
        <v>80</v>
      </c>
      <c r="D75" s="245">
        <f>D64</f>
        <v>45.553521445156186</v>
      </c>
      <c r="E75" s="245">
        <f t="shared" ref="E75:W75" si="127">E64</f>
        <v>42.89</v>
      </c>
      <c r="F75" s="245">
        <f t="shared" si="127"/>
        <v>11.632999999999999</v>
      </c>
      <c r="G75" s="245">
        <f t="shared" si="127"/>
        <v>11.608000000000001</v>
      </c>
      <c r="H75" s="245">
        <f t="shared" si="127"/>
        <v>20.012</v>
      </c>
      <c r="I75" s="245">
        <f t="shared" si="127"/>
        <v>21.087999999999994</v>
      </c>
      <c r="J75" s="245">
        <f t="shared" si="127"/>
        <v>64.340999999999994</v>
      </c>
      <c r="K75" s="246">
        <f t="shared" si="127"/>
        <v>23.873000000000001</v>
      </c>
      <c r="L75" s="245">
        <f t="shared" si="127"/>
        <v>20</v>
      </c>
      <c r="M75" s="245">
        <f t="shared" si="127"/>
        <v>20</v>
      </c>
      <c r="N75" s="245">
        <f t="shared" si="127"/>
        <v>20</v>
      </c>
      <c r="O75" s="245">
        <f t="shared" si="127"/>
        <v>83.873000000000005</v>
      </c>
      <c r="P75" s="245">
        <f t="shared" si="127"/>
        <v>20</v>
      </c>
      <c r="Q75" s="245">
        <f t="shared" si="127"/>
        <v>20</v>
      </c>
      <c r="R75" s="245">
        <f t="shared" si="127"/>
        <v>20</v>
      </c>
      <c r="S75" s="245">
        <f t="shared" si="127"/>
        <v>20</v>
      </c>
      <c r="T75" s="245">
        <f t="shared" si="127"/>
        <v>80</v>
      </c>
      <c r="U75" s="245">
        <f t="shared" si="127"/>
        <v>80</v>
      </c>
      <c r="V75" s="245">
        <f t="shared" si="127"/>
        <v>80</v>
      </c>
      <c r="W75" s="246">
        <f t="shared" si="127"/>
        <v>80</v>
      </c>
    </row>
    <row r="76" spans="1:23" x14ac:dyDescent="0.25">
      <c r="B76" s="137" t="s">
        <v>9</v>
      </c>
      <c r="C76" s="108" t="s">
        <v>76</v>
      </c>
      <c r="D76" s="109">
        <v>0</v>
      </c>
      <c r="E76" s="110">
        <f>E75/D75-1</f>
        <v>-5.8470154680860698E-2</v>
      </c>
      <c r="F76" s="110">
        <v>0</v>
      </c>
      <c r="G76" s="110">
        <v>0</v>
      </c>
      <c r="H76" s="110">
        <v>0</v>
      </c>
      <c r="I76" s="110">
        <v>0</v>
      </c>
      <c r="J76" s="110">
        <f>J75/E75-1</f>
        <v>0.50013989274889226</v>
      </c>
      <c r="K76" s="111">
        <f>K75/F75-1</f>
        <v>1.0521791455342564</v>
      </c>
      <c r="L76" s="110">
        <f>L75/G75-1</f>
        <v>0.72294968986905572</v>
      </c>
      <c r="M76" s="110">
        <f t="shared" ref="M76" si="128">M75/H75-1</f>
        <v>-5.9964021587044503E-4</v>
      </c>
      <c r="N76" s="110">
        <f t="shared" ref="N76" si="129">N75/I75-1</f>
        <v>-5.1593323216995168E-2</v>
      </c>
      <c r="O76" s="110">
        <f>O75/J75-1</f>
        <v>0.30357004087595807</v>
      </c>
      <c r="P76" s="110">
        <v>0.05</v>
      </c>
      <c r="Q76" s="110">
        <v>0.06</v>
      </c>
      <c r="R76" s="110">
        <v>7.0000000000000007E-2</v>
      </c>
      <c r="S76" s="110">
        <v>0.05</v>
      </c>
      <c r="T76" s="110">
        <f>T75/O75-1</f>
        <v>-4.6176958019863434E-2</v>
      </c>
      <c r="U76" s="110">
        <f t="shared" ref="U76" si="130">U75/T75-1</f>
        <v>0</v>
      </c>
      <c r="V76" s="110">
        <f t="shared" ref="V76" si="131">V75/U75-1</f>
        <v>0</v>
      </c>
      <c r="W76" s="111">
        <f t="shared" ref="W76" si="132">W75/V75-1</f>
        <v>0</v>
      </c>
    </row>
    <row r="78" spans="1:23" x14ac:dyDescent="0.25">
      <c r="B78" s="89" t="s">
        <v>64</v>
      </c>
      <c r="C78" s="147" t="s">
        <v>80</v>
      </c>
      <c r="D78" s="234">
        <f>D69+D72+D75</f>
        <v>958.70039027820292</v>
      </c>
      <c r="E78" s="234">
        <f t="shared" ref="E78:W78" si="133">E69+E72+E75</f>
        <v>1087.5600000000002</v>
      </c>
      <c r="F78" s="234">
        <f t="shared" si="133"/>
        <v>275.67099999999999</v>
      </c>
      <c r="G78" s="234">
        <f t="shared" si="133"/>
        <v>290.02600000000001</v>
      </c>
      <c r="H78" s="234">
        <f t="shared" si="133"/>
        <v>306.39000000000004</v>
      </c>
      <c r="I78" s="234">
        <f t="shared" si="133"/>
        <v>313.423</v>
      </c>
      <c r="J78" s="234">
        <f t="shared" si="133"/>
        <v>1185.51</v>
      </c>
      <c r="K78" s="235">
        <f t="shared" si="133"/>
        <v>323.51600000000002</v>
      </c>
      <c r="L78" s="234">
        <f t="shared" si="133"/>
        <v>312.69792521222655</v>
      </c>
      <c r="M78" s="234">
        <f t="shared" si="133"/>
        <v>335.99850826968213</v>
      </c>
      <c r="N78" s="234">
        <f t="shared" si="133"/>
        <v>340.47726194140409</v>
      </c>
      <c r="O78" s="234">
        <f t="shared" si="133"/>
        <v>1312.689695423313</v>
      </c>
      <c r="P78" s="234">
        <f t="shared" si="133"/>
        <v>322.13898445244229</v>
      </c>
      <c r="Q78" s="234">
        <f t="shared" si="133"/>
        <v>343.66135014405086</v>
      </c>
      <c r="R78" s="234">
        <f t="shared" si="133"/>
        <v>367.75003954034486</v>
      </c>
      <c r="S78" s="234">
        <f t="shared" si="133"/>
        <v>369.42740425285751</v>
      </c>
      <c r="T78" s="234">
        <f t="shared" si="133"/>
        <v>1410.0953839070767</v>
      </c>
      <c r="U78" s="234">
        <f t="shared" si="133"/>
        <v>1531.5579929947676</v>
      </c>
      <c r="V78" s="234">
        <f t="shared" si="133"/>
        <v>1663.6352138863404</v>
      </c>
      <c r="W78" s="235">
        <f t="shared" si="133"/>
        <v>1787.0382244508414</v>
      </c>
    </row>
    <row r="79" spans="1:23" x14ac:dyDescent="0.25">
      <c r="B79" s="137" t="s">
        <v>9</v>
      </c>
      <c r="C79" s="108" t="s">
        <v>76</v>
      </c>
      <c r="D79" s="109">
        <v>0</v>
      </c>
      <c r="E79" s="110">
        <f>E78/D78-1</f>
        <v>0.13441072000023269</v>
      </c>
      <c r="F79" s="110">
        <v>0</v>
      </c>
      <c r="G79" s="110">
        <v>0</v>
      </c>
      <c r="H79" s="110">
        <v>0</v>
      </c>
      <c r="I79" s="110">
        <v>0</v>
      </c>
      <c r="J79" s="110">
        <f>J78/E78-1</f>
        <v>9.0063996469160079E-2</v>
      </c>
      <c r="K79" s="111">
        <f>K78/F78-1</f>
        <v>0.17355833584236291</v>
      </c>
      <c r="L79" s="110">
        <f>L78/G78-1</f>
        <v>7.8172043927877244E-2</v>
      </c>
      <c r="M79" s="110">
        <f t="shared" ref="M79" si="134">M78/H78-1</f>
        <v>9.6636666567714524E-2</v>
      </c>
      <c r="N79" s="110">
        <f t="shared" ref="N79" si="135">N78/I78-1</f>
        <v>8.6318687337572753E-2</v>
      </c>
      <c r="O79" s="110">
        <f>O78/J78-1</f>
        <v>0.10727846700855581</v>
      </c>
      <c r="P79" s="110">
        <v>0.05</v>
      </c>
      <c r="Q79" s="110">
        <v>0.06</v>
      </c>
      <c r="R79" s="110">
        <v>7.0000000000000007E-2</v>
      </c>
      <c r="S79" s="110">
        <v>0.05</v>
      </c>
      <c r="T79" s="110">
        <f>T78/O78-1</f>
        <v>7.4203133324934445E-2</v>
      </c>
      <c r="U79" s="110">
        <f t="shared" ref="U79" si="136">U78/T78-1</f>
        <v>8.6137867320112527E-2</v>
      </c>
      <c r="V79" s="110">
        <f t="shared" ref="V79" si="137">V78/U78-1</f>
        <v>8.6237166007218979E-2</v>
      </c>
      <c r="W79" s="111">
        <f t="shared" ref="W79" si="138">W78/V78-1</f>
        <v>7.4176724280934803E-2</v>
      </c>
    </row>
    <row r="80" spans="1:23" x14ac:dyDescent="0.25">
      <c r="A80" s="70" t="s">
        <v>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D835-887F-4358-A7A5-71847E15E535}">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defaultColWidth="8.7109375" defaultRowHeight="15" outlineLevelCol="1" x14ac:dyDescent="0.25"/>
  <cols>
    <col min="1" max="1" width="8.7109375" style="71"/>
    <col min="2" max="2" width="49.140625" style="71" bestFit="1" customWidth="1"/>
    <col min="3" max="3" width="8.7109375" style="71"/>
    <col min="4" max="5" width="10.5703125" style="294" customWidth="1"/>
    <col min="6" max="9" width="10.5703125" style="71" customWidth="1" outlineLevel="1"/>
    <col min="10" max="10" width="10.5703125" style="294" customWidth="1"/>
    <col min="11" max="11" width="10.5703125" style="73" customWidth="1" outlineLevel="1"/>
    <col min="12" max="14" width="10.5703125" style="71" customWidth="1" outlineLevel="1"/>
    <col min="15" max="15" width="10.5703125" style="294" customWidth="1"/>
    <col min="16" max="19" width="10.5703125" style="71" customWidth="1" outlineLevel="1"/>
    <col min="20" max="23" width="10.5703125" style="294" customWidth="1"/>
    <col min="24" max="24" width="8.7109375" style="71"/>
    <col min="25" max="25" width="9.5703125" style="71" bestFit="1" customWidth="1"/>
    <col min="26" max="16384" width="8.7109375" style="71"/>
  </cols>
  <sheetData>
    <row r="1" spans="1:23" x14ac:dyDescent="0.25">
      <c r="D1" s="71"/>
      <c r="E1" s="71"/>
      <c r="J1" s="71"/>
      <c r="O1" s="71"/>
      <c r="T1" s="71"/>
      <c r="U1" s="71"/>
      <c r="V1" s="71"/>
      <c r="W1" s="71"/>
    </row>
    <row r="2" spans="1:23" ht="18.75" x14ac:dyDescent="0.3">
      <c r="A2" s="70" t="s">
        <v>1</v>
      </c>
      <c r="B2" s="74" t="s">
        <v>55</v>
      </c>
      <c r="D2" s="71"/>
      <c r="E2" s="71"/>
      <c r="J2" s="71"/>
      <c r="O2" s="71"/>
      <c r="T2" s="71"/>
      <c r="U2" s="71"/>
      <c r="V2" s="71"/>
      <c r="W2" s="71"/>
    </row>
    <row r="3" spans="1:23" x14ac:dyDescent="0.25">
      <c r="D3" s="71"/>
      <c r="E3" s="71"/>
      <c r="J3" s="71"/>
      <c r="O3" s="71"/>
      <c r="T3" s="71"/>
      <c r="U3" s="71"/>
      <c r="V3" s="71"/>
      <c r="W3" s="71"/>
    </row>
    <row r="4" spans="1:23" x14ac:dyDescent="0.25">
      <c r="D4" s="71">
        <v>365</v>
      </c>
      <c r="E4" s="71">
        <v>366</v>
      </c>
      <c r="F4" s="71">
        <v>90</v>
      </c>
      <c r="G4" s="71">
        <v>91</v>
      </c>
      <c r="H4" s="71">
        <v>92</v>
      </c>
      <c r="I4" s="71">
        <v>92</v>
      </c>
      <c r="J4" s="71">
        <v>365</v>
      </c>
      <c r="K4" s="73">
        <v>90</v>
      </c>
      <c r="L4" s="71">
        <v>91</v>
      </c>
      <c r="M4" s="71">
        <v>92</v>
      </c>
      <c r="N4" s="71">
        <v>92</v>
      </c>
      <c r="O4" s="71">
        <v>365</v>
      </c>
      <c r="P4" s="71">
        <v>90</v>
      </c>
      <c r="Q4" s="71">
        <v>91</v>
      </c>
      <c r="R4" s="71">
        <v>92</v>
      </c>
      <c r="S4" s="71">
        <v>92</v>
      </c>
      <c r="T4" s="71">
        <v>365</v>
      </c>
      <c r="U4" s="71">
        <v>366</v>
      </c>
      <c r="V4" s="71">
        <v>365</v>
      </c>
      <c r="W4" s="71">
        <v>365</v>
      </c>
    </row>
    <row r="5" spans="1:23" x14ac:dyDescent="0.25">
      <c r="A5" s="70" t="s">
        <v>1</v>
      </c>
      <c r="B5" s="75" t="s">
        <v>56</v>
      </c>
      <c r="C5" s="76" t="s">
        <v>2</v>
      </c>
      <c r="D5" s="77">
        <v>2023</v>
      </c>
      <c r="E5" s="77">
        <f>D5+1</f>
        <v>2024</v>
      </c>
      <c r="F5" s="78" t="s">
        <v>37</v>
      </c>
      <c r="G5" s="79" t="s">
        <v>39</v>
      </c>
      <c r="H5" s="79" t="s">
        <v>38</v>
      </c>
      <c r="I5" s="79" t="s">
        <v>40</v>
      </c>
      <c r="J5" s="77">
        <f>E5+1</f>
        <v>2025</v>
      </c>
      <c r="K5" s="78" t="s">
        <v>4</v>
      </c>
      <c r="L5" s="79" t="s">
        <v>5</v>
      </c>
      <c r="M5" s="79" t="s">
        <v>6</v>
      </c>
      <c r="N5" s="79" t="s">
        <v>7</v>
      </c>
      <c r="O5" s="80">
        <f>J5+1</f>
        <v>2026</v>
      </c>
      <c r="P5" s="78" t="s">
        <v>50</v>
      </c>
      <c r="Q5" s="79" t="s">
        <v>51</v>
      </c>
      <c r="R5" s="79" t="s">
        <v>52</v>
      </c>
      <c r="S5" s="79" t="s">
        <v>53</v>
      </c>
      <c r="T5" s="80">
        <f>O5+1</f>
        <v>2027</v>
      </c>
      <c r="U5" s="80">
        <f t="shared" ref="U5:W5" si="0">T5+1</f>
        <v>2028</v>
      </c>
      <c r="V5" s="80">
        <f t="shared" si="0"/>
        <v>2029</v>
      </c>
      <c r="W5" s="80">
        <f t="shared" si="0"/>
        <v>2030</v>
      </c>
    </row>
    <row r="6" spans="1:23" ht="5.0999999999999996" customHeight="1" x14ac:dyDescent="0.25">
      <c r="D6" s="71"/>
      <c r="E6" s="71"/>
      <c r="J6" s="71"/>
      <c r="O6" s="71"/>
      <c r="T6" s="71"/>
      <c r="U6" s="71"/>
      <c r="V6" s="71"/>
      <c r="W6" s="71"/>
    </row>
    <row r="7" spans="1:23" x14ac:dyDescent="0.25">
      <c r="B7" s="158" t="s">
        <v>57</v>
      </c>
      <c r="C7" s="118" t="s">
        <v>80</v>
      </c>
      <c r="E7" s="222">
        <v>8064.0969999999998</v>
      </c>
      <c r="F7" s="192">
        <f t="shared" ref="F7:I7" si="1">E9</f>
        <v>8331.1059999999998</v>
      </c>
      <c r="G7" s="192">
        <f t="shared" si="1"/>
        <v>8908.9529999999995</v>
      </c>
      <c r="H7" s="192">
        <f t="shared" si="1"/>
        <v>9296.6910000000007</v>
      </c>
      <c r="I7" s="192">
        <f t="shared" si="1"/>
        <v>9344.8379999999997</v>
      </c>
      <c r="J7" s="67">
        <f>E9</f>
        <v>8331.1059999999998</v>
      </c>
      <c r="K7" s="224">
        <f>J9</f>
        <v>9538.652</v>
      </c>
      <c r="L7" s="231">
        <f>K9</f>
        <v>9381.0990000000002</v>
      </c>
      <c r="M7" s="231">
        <f t="shared" ref="M7:N7" si="2">L9</f>
        <v>9834.594185945205</v>
      </c>
      <c r="N7" s="231">
        <f t="shared" si="2"/>
        <v>10143.348824925786</v>
      </c>
      <c r="O7" s="141">
        <f>J9</f>
        <v>9538.652</v>
      </c>
      <c r="P7" s="223">
        <f>O9</f>
        <v>10012.500147780715</v>
      </c>
      <c r="Q7" s="231">
        <f>P9</f>
        <v>10021.949395917483</v>
      </c>
      <c r="R7" s="231">
        <f t="shared" ref="R7:S7" si="3">Q9</f>
        <v>10560.366743094066</v>
      </c>
      <c r="S7" s="231">
        <f t="shared" si="3"/>
        <v>10852.889278726405</v>
      </c>
      <c r="T7" s="141">
        <f>O9</f>
        <v>10012.500147780715</v>
      </c>
      <c r="U7" s="141">
        <f>T9</f>
        <v>10698.710784275312</v>
      </c>
      <c r="V7" s="141">
        <f t="shared" ref="V7:W7" si="4">U9</f>
        <v>11431.05278307992</v>
      </c>
      <c r="W7" s="141">
        <f t="shared" si="4"/>
        <v>12092.931286924888</v>
      </c>
    </row>
    <row r="8" spans="1:23" x14ac:dyDescent="0.25">
      <c r="B8" s="218" t="s">
        <v>58</v>
      </c>
      <c r="C8" s="118" t="s">
        <v>80</v>
      </c>
      <c r="E8" s="175">
        <f t="shared" ref="E8:W8" si="5">E9-E7</f>
        <v>267.00900000000001</v>
      </c>
      <c r="F8" s="191">
        <f t="shared" si="5"/>
        <v>577.84699999999975</v>
      </c>
      <c r="G8" s="191">
        <f t="shared" si="5"/>
        <v>387.73800000000119</v>
      </c>
      <c r="H8" s="191">
        <f t="shared" si="5"/>
        <v>48.146999999999025</v>
      </c>
      <c r="I8" s="191">
        <f t="shared" si="5"/>
        <v>193.81400000000031</v>
      </c>
      <c r="J8" s="175">
        <f t="shared" si="5"/>
        <v>1207.5460000000003</v>
      </c>
      <c r="K8" s="226">
        <f t="shared" si="5"/>
        <v>-157.55299999999988</v>
      </c>
      <c r="L8" s="191">
        <f t="shared" si="5"/>
        <v>453.49518594520487</v>
      </c>
      <c r="M8" s="191">
        <f t="shared" si="5"/>
        <v>308.75463898058115</v>
      </c>
      <c r="N8" s="191">
        <f t="shared" si="5"/>
        <v>-130.84867714507163</v>
      </c>
      <c r="O8" s="141">
        <f>SUM(K8:N8)</f>
        <v>473.8481477807145</v>
      </c>
      <c r="P8" s="225">
        <f t="shared" si="5"/>
        <v>9.4492481367688015</v>
      </c>
      <c r="Q8" s="191">
        <f t="shared" si="5"/>
        <v>538.41734717658255</v>
      </c>
      <c r="R8" s="191">
        <f t="shared" si="5"/>
        <v>292.52253563233899</v>
      </c>
      <c r="S8" s="191">
        <f t="shared" si="5"/>
        <v>-154.17849445109277</v>
      </c>
      <c r="T8" s="141">
        <f>SUM(P8:S8)</f>
        <v>686.21063649459757</v>
      </c>
      <c r="U8" s="193">
        <f t="shared" si="5"/>
        <v>732.34199880460801</v>
      </c>
      <c r="V8" s="193">
        <f t="shared" si="5"/>
        <v>661.87850384496778</v>
      </c>
      <c r="W8" s="193">
        <f t="shared" si="5"/>
        <v>615.5388394668571</v>
      </c>
    </row>
    <row r="9" spans="1:23" x14ac:dyDescent="0.25">
      <c r="B9" s="158" t="s">
        <v>59</v>
      </c>
      <c r="C9" s="118" t="s">
        <v>80</v>
      </c>
      <c r="E9" s="222">
        <v>8331.1059999999998</v>
      </c>
      <c r="F9" s="219">
        <v>8908.9529999999995</v>
      </c>
      <c r="G9" s="219">
        <v>9296.6910000000007</v>
      </c>
      <c r="H9" s="219">
        <v>9344.8379999999997</v>
      </c>
      <c r="I9" s="219">
        <v>9538.652</v>
      </c>
      <c r="J9" s="220">
        <f>I9</f>
        <v>9538.652</v>
      </c>
      <c r="K9" s="221">
        <v>9381.0990000000002</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spans="1:23" x14ac:dyDescent="0.25">
      <c r="B10" s="158" t="s">
        <v>60</v>
      </c>
      <c r="C10" s="118" t="s">
        <v>80</v>
      </c>
      <c r="E10" s="227">
        <v>8473.1049999999996</v>
      </c>
      <c r="F10" s="68">
        <v>8363.8639999999996</v>
      </c>
      <c r="G10" s="68">
        <v>8852.8320000000003</v>
      </c>
      <c r="H10" s="68">
        <v>8954.9860000000008</v>
      </c>
      <c r="I10" s="68">
        <v>8725.152</v>
      </c>
      <c r="J10" s="227">
        <v>8724.2090000000007</v>
      </c>
      <c r="K10" s="221">
        <v>9018.9570000000003</v>
      </c>
      <c r="L10" s="192">
        <f>AVERAGE(L7,L9)</f>
        <v>9607.8465929726026</v>
      </c>
      <c r="M10" s="192">
        <f t="shared" ref="M10:N10" si="6">AVERAGE(M7,M9)</f>
        <v>9988.9715054354965</v>
      </c>
      <c r="N10" s="192">
        <f t="shared" si="6"/>
        <v>10077.924486353251</v>
      </c>
      <c r="O10" s="195">
        <f>(K10*K4+L10*L4+M10*M4+N10*N4)/O4</f>
        <v>9677.1906882330732</v>
      </c>
      <c r="P10" s="192">
        <f>AVERAGE(P7,P9)</f>
        <v>10017.224771849098</v>
      </c>
      <c r="Q10" s="192">
        <f>AVERAGE(Q7,Q9)</f>
        <v>10291.158069505775</v>
      </c>
      <c r="R10" s="192">
        <f t="shared" ref="R10:S10" si="7">AVERAGE(R7,R9)</f>
        <v>10706.628010910235</v>
      </c>
      <c r="S10" s="192">
        <f t="shared" si="7"/>
        <v>10775.800031500858</v>
      </c>
      <c r="T10" s="195">
        <f>(P10*P4+Q10*Q4+R10*R4+S10*S4)/T4</f>
        <v>10450.490393680178</v>
      </c>
      <c r="U10" s="67">
        <f t="shared" ref="U10:W10" si="8">AVERAGE(U7,U9)</f>
        <v>11064.881783677616</v>
      </c>
      <c r="V10" s="67">
        <f t="shared" si="8"/>
        <v>11761.992035002404</v>
      </c>
      <c r="W10" s="67">
        <f t="shared" si="8"/>
        <v>12400.700706658317</v>
      </c>
    </row>
    <row r="11" spans="1:23" x14ac:dyDescent="0.25">
      <c r="B11" s="216" t="s">
        <v>62</v>
      </c>
      <c r="C11" s="118" t="s">
        <v>76</v>
      </c>
      <c r="E11" s="206">
        <f>E9/'Revenue Build'!E41</f>
        <v>1.1252588562188435</v>
      </c>
      <c r="F11" s="228">
        <f>F9/'Revenue Build'!F41</f>
        <v>1.1758353668700929</v>
      </c>
      <c r="G11" s="228">
        <f>G9/'Revenue Build'!G41</f>
        <v>1.1214120587467198</v>
      </c>
      <c r="H11" s="228">
        <f>H9/'Revenue Build'!H41</f>
        <v>1.0630678040836163</v>
      </c>
      <c r="I11" s="228">
        <f>I9/'Revenue Build'!I41</f>
        <v>1.0771787975382194</v>
      </c>
      <c r="J11" s="206">
        <f>J9/'Revenue Build'!J41</f>
        <v>1.0771787975382194</v>
      </c>
      <c r="K11" s="229">
        <f>K9/'Revenue Build'!K41</f>
        <v>1.1115703404739214</v>
      </c>
      <c r="L11" s="172">
        <v>1.1000000000000001</v>
      </c>
      <c r="M11" s="178">
        <f>L11</f>
        <v>1.1000000000000001</v>
      </c>
      <c r="N11" s="178">
        <f>M11</f>
        <v>1.1000000000000001</v>
      </c>
      <c r="O11" s="206">
        <f>O9/'Revenue Build'!O41</f>
        <v>1.1000000000000001</v>
      </c>
      <c r="P11" s="295">
        <f>O11</f>
        <v>1.1000000000000001</v>
      </c>
      <c r="Q11" s="295">
        <f t="shared" ref="Q11:S11" si="9">P11</f>
        <v>1.1000000000000001</v>
      </c>
      <c r="R11" s="295">
        <f t="shared" si="9"/>
        <v>1.1000000000000001</v>
      </c>
      <c r="S11" s="295">
        <f t="shared" si="9"/>
        <v>1.1000000000000001</v>
      </c>
      <c r="T11" s="206">
        <f>T9/'Revenue Build'!T41</f>
        <v>1.0999999999999999</v>
      </c>
      <c r="U11" s="126">
        <f>T11</f>
        <v>1.0999999999999999</v>
      </c>
      <c r="V11" s="126">
        <f t="shared" ref="V11:W11" si="10">U11</f>
        <v>1.0999999999999999</v>
      </c>
      <c r="W11" s="126">
        <f t="shared" si="10"/>
        <v>1.0999999999999999</v>
      </c>
    </row>
    <row r="12" spans="1:23" x14ac:dyDescent="0.25">
      <c r="B12" s="217"/>
    </row>
    <row r="13" spans="1:23" x14ac:dyDescent="0.25">
      <c r="A13" s="70" t="s">
        <v>1</v>
      </c>
      <c r="B13" s="299" t="s">
        <v>61</v>
      </c>
      <c r="C13" s="296" t="s">
        <v>76</v>
      </c>
      <c r="D13" s="297"/>
      <c r="E13" s="249">
        <f>-'Revenue Build'!E57/'Debt Build'!E10*'Debt Build'!E4/'Debt Build'!E4</f>
        <v>6.5303569352675311E-2</v>
      </c>
      <c r="F13" s="249">
        <f>-'Revenue Build'!F57/'Debt Build'!F10*$J$4/F4</f>
        <v>6.2169710076586615E-2</v>
      </c>
      <c r="G13" s="249">
        <f>-'Revenue Build'!G57/'Debt Build'!G10*$J$4/G4</f>
        <v>6.0049083790300155E-2</v>
      </c>
      <c r="H13" s="249">
        <f>-'Revenue Build'!H57/'Debt Build'!H10*$J$4/H4</f>
        <v>5.9855645490825372E-2</v>
      </c>
      <c r="I13" s="249">
        <f>-'Revenue Build'!I57/'Debt Build'!I10*$J$4/I4</f>
        <v>5.8131159952484399E-2</v>
      </c>
      <c r="J13" s="249">
        <f>-'Revenue Build'!J57/'Debt Build'!J10*'Debt Build'!J4/'Debt Build'!J4</f>
        <v>6.0028020878454429E-2</v>
      </c>
      <c r="K13" s="250">
        <f>-'Revenue Build'!K57/'Debt Build'!K10*$J$4/K4</f>
        <v>5.8013292322924799E-2</v>
      </c>
      <c r="L13" s="249">
        <f>K13</f>
        <v>5.8013292322924799E-2</v>
      </c>
      <c r="M13" s="249">
        <f t="shared" ref="M13:N13" si="11">L13</f>
        <v>5.8013292322924799E-2</v>
      </c>
      <c r="N13" s="249">
        <f t="shared" si="11"/>
        <v>5.8013292322924799E-2</v>
      </c>
      <c r="O13" s="249">
        <f>-'Revenue Build'!O57/'Debt Build'!O10*'Debt Build'!O4/'Debt Build'!O4</f>
        <v>5.8013292322924799E-2</v>
      </c>
      <c r="P13" s="249">
        <f>O13</f>
        <v>5.8013292322924799E-2</v>
      </c>
      <c r="Q13" s="249">
        <f>P13</f>
        <v>5.8013292322924799E-2</v>
      </c>
      <c r="R13" s="249">
        <f t="shared" ref="R13:S13" si="12">Q13</f>
        <v>5.8013292322924799E-2</v>
      </c>
      <c r="S13" s="249">
        <f t="shared" si="12"/>
        <v>5.8013292322924799E-2</v>
      </c>
      <c r="T13" s="249">
        <f>-'Revenue Build'!T57/'Debt Build'!T10*'Debt Build'!T4/'Debt Build'!T4</f>
        <v>5.8013292322924799E-2</v>
      </c>
      <c r="U13" s="249">
        <f>T13</f>
        <v>5.8013292322924799E-2</v>
      </c>
      <c r="V13" s="249">
        <f t="shared" ref="V13:W13" si="13">U13</f>
        <v>5.8013292322924799E-2</v>
      </c>
      <c r="W13" s="250">
        <f t="shared" si="13"/>
        <v>5.8013292322924799E-2</v>
      </c>
    </row>
    <row r="14" spans="1:23" x14ac:dyDescent="0.25">
      <c r="B14" s="215"/>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916EB-1954-4643-BD88-783D6C9AB675}">
  <dimension ref="B2:Y2"/>
  <sheetViews>
    <sheetView showGridLines="0" workbookViewId="0">
      <selection activeCell="B3" sqref="B3"/>
    </sheetView>
  </sheetViews>
  <sheetFormatPr defaultRowHeight="15" x14ac:dyDescent="0.25"/>
  <sheetData>
    <row r="2" spans="2:25" x14ac:dyDescent="0.25">
      <c r="B2" s="328" t="s">
        <v>129</v>
      </c>
      <c r="C2" s="328"/>
      <c r="D2" s="328"/>
      <c r="E2" s="328"/>
      <c r="F2" s="328"/>
      <c r="G2" s="328"/>
      <c r="H2" s="328"/>
      <c r="I2" s="328"/>
      <c r="J2" s="328"/>
      <c r="K2" s="328"/>
      <c r="L2" s="328"/>
      <c r="M2" s="328"/>
      <c r="N2" s="328"/>
      <c r="O2" s="328"/>
      <c r="P2" s="328"/>
      <c r="Q2" s="328"/>
      <c r="R2" s="328"/>
      <c r="S2" s="328"/>
      <c r="T2" s="328"/>
      <c r="U2" s="328"/>
      <c r="V2" s="328"/>
      <c r="W2" s="328"/>
      <c r="X2" s="328"/>
      <c r="Y2" s="32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8B312-2B3F-460D-9E57-9016885E612E}">
  <dimension ref="A1:Q30"/>
  <sheetViews>
    <sheetView showGridLines="0" workbookViewId="0">
      <selection activeCell="C2" sqref="C2"/>
    </sheetView>
  </sheetViews>
  <sheetFormatPr defaultRowHeight="15" outlineLevelCol="1" x14ac:dyDescent="0.25"/>
  <cols>
    <col min="1" max="1" width="9.140625" style="3"/>
    <col min="2" max="2" width="37.5703125" bestFit="1" customWidth="1"/>
    <col min="3" max="3" width="9.140625" style="12"/>
    <col min="4" max="6" width="10.5703125" style="31" customWidth="1"/>
    <col min="7" max="7" width="10.5703125" style="26" customWidth="1" outlineLevel="1"/>
    <col min="8" max="10" width="10.5703125" style="27" customWidth="1" outlineLevel="1"/>
    <col min="11" max="15" width="10.5703125" style="31" customWidth="1"/>
    <col min="17" max="17" width="9.5703125" bestFit="1" customWidth="1"/>
  </cols>
  <sheetData>
    <row r="1" spans="1:17" x14ac:dyDescent="0.25">
      <c r="C1" s="2"/>
      <c r="D1"/>
      <c r="E1"/>
      <c r="F1"/>
      <c r="G1" s="9"/>
      <c r="H1"/>
      <c r="I1"/>
      <c r="J1"/>
      <c r="K1"/>
      <c r="L1"/>
      <c r="M1"/>
      <c r="N1"/>
      <c r="O1"/>
    </row>
    <row r="2" spans="1:17" ht="18.75" x14ac:dyDescent="0.3">
      <c r="B2" s="1" t="s">
        <v>0</v>
      </c>
      <c r="C2" s="2"/>
      <c r="D2"/>
      <c r="E2"/>
      <c r="F2"/>
      <c r="G2" s="9"/>
      <c r="H2"/>
      <c r="I2"/>
      <c r="J2"/>
      <c r="K2"/>
      <c r="L2"/>
      <c r="M2"/>
      <c r="N2"/>
      <c r="O2"/>
    </row>
    <row r="3" spans="1:17" x14ac:dyDescent="0.25">
      <c r="C3" s="2"/>
      <c r="D3"/>
      <c r="E3"/>
      <c r="F3"/>
      <c r="G3" s="9"/>
      <c r="H3"/>
      <c r="I3"/>
      <c r="J3"/>
      <c r="K3"/>
      <c r="L3"/>
      <c r="M3"/>
      <c r="N3"/>
      <c r="O3"/>
    </row>
    <row r="4" spans="1:17" x14ac:dyDescent="0.25">
      <c r="A4" s="3" t="s">
        <v>1</v>
      </c>
      <c r="B4" s="4" t="s">
        <v>3</v>
      </c>
      <c r="C4" s="5" t="s">
        <v>2</v>
      </c>
      <c r="D4" s="6">
        <v>2023</v>
      </c>
      <c r="E4" s="6">
        <f>D4+1</f>
        <v>2024</v>
      </c>
      <c r="F4" s="6">
        <f t="shared" ref="F4" si="0">E4+1</f>
        <v>2025</v>
      </c>
      <c r="G4" s="10" t="s">
        <v>4</v>
      </c>
      <c r="H4" s="8" t="s">
        <v>5</v>
      </c>
      <c r="I4" s="8" t="s">
        <v>6</v>
      </c>
      <c r="J4" s="8" t="s">
        <v>7</v>
      </c>
      <c r="K4" s="7">
        <f>F4+1</f>
        <v>2026</v>
      </c>
      <c r="L4" s="7">
        <f>K4+1</f>
        <v>2027</v>
      </c>
      <c r="M4" s="7">
        <f t="shared" ref="M4:O4" si="1">L4+1</f>
        <v>2028</v>
      </c>
      <c r="N4" s="7">
        <f t="shared" si="1"/>
        <v>2029</v>
      </c>
      <c r="O4" s="7">
        <f t="shared" si="1"/>
        <v>2030</v>
      </c>
    </row>
    <row r="5" spans="1:17" s="20" customFormat="1" x14ac:dyDescent="0.25">
      <c r="A5" s="13"/>
      <c r="B5" s="14"/>
      <c r="C5" s="15"/>
      <c r="D5" s="16"/>
      <c r="E5" s="16"/>
      <c r="F5" s="16"/>
      <c r="G5" s="17"/>
      <c r="H5" s="18"/>
      <c r="I5" s="18"/>
      <c r="J5" s="18"/>
      <c r="K5" s="19"/>
      <c r="L5" s="19"/>
      <c r="M5" s="19"/>
      <c r="N5" s="19"/>
      <c r="O5" s="19"/>
    </row>
    <row r="6" spans="1:17" x14ac:dyDescent="0.25">
      <c r="B6" s="23" t="s">
        <v>10</v>
      </c>
      <c r="C6" s="37" t="s">
        <v>8</v>
      </c>
      <c r="D6" s="38">
        <f>D12+D15</f>
        <v>16.662992266508034</v>
      </c>
      <c r="E6" s="38">
        <f t="shared" ref="E6:O6" si="2">E12+E15</f>
        <v>17.079567073170736</v>
      </c>
      <c r="F6" s="38">
        <f t="shared" si="2"/>
        <v>17.506556249999999</v>
      </c>
      <c r="G6" s="39">
        <f t="shared" si="2"/>
        <v>17.614961158613603</v>
      </c>
      <c r="H6" s="38">
        <f t="shared" si="2"/>
        <v>17.79111077019974</v>
      </c>
      <c r="I6" s="38">
        <f t="shared" si="2"/>
        <v>17.924544100976238</v>
      </c>
      <c r="J6" s="38">
        <f t="shared" si="2"/>
        <v>18.058978181733565</v>
      </c>
      <c r="K6" s="38">
        <f t="shared" si="2"/>
        <v>18.055335187578944</v>
      </c>
      <c r="L6" s="38">
        <f t="shared" si="2"/>
        <v>18.506718567268415</v>
      </c>
      <c r="M6" s="38">
        <f t="shared" si="2"/>
        <v>18.969386531450127</v>
      </c>
      <c r="N6" s="38">
        <f t="shared" si="2"/>
        <v>19.443621194736377</v>
      </c>
      <c r="O6" s="40">
        <f t="shared" si="2"/>
        <v>19.929711724604786</v>
      </c>
      <c r="Q6" t="s">
        <v>12</v>
      </c>
    </row>
    <row r="7" spans="1:17" x14ac:dyDescent="0.25">
      <c r="B7" s="57" t="s">
        <v>9</v>
      </c>
      <c r="C7" s="44"/>
      <c r="D7" s="53">
        <v>0</v>
      </c>
      <c r="E7" s="54">
        <f>E6/D6-1</f>
        <v>2.5000000000000133E-2</v>
      </c>
      <c r="F7" s="54">
        <f>F6/E6-1</f>
        <v>2.4999999999999689E-2</v>
      </c>
      <c r="G7" s="55">
        <v>0</v>
      </c>
      <c r="H7" s="54">
        <f>H6/G6-1</f>
        <v>1.0000000000000009E-2</v>
      </c>
      <c r="I7" s="54">
        <f>I6/H6-1</f>
        <v>7.5000000000000622E-3</v>
      </c>
      <c r="J7" s="54">
        <f>J6/I6-1</f>
        <v>7.5000000000002842E-3</v>
      </c>
      <c r="K7" s="54">
        <f>K6/F6-1</f>
        <v>3.1347052483777116E-2</v>
      </c>
      <c r="L7" s="54">
        <f>L6/K6-1</f>
        <v>2.4999999999999911E-2</v>
      </c>
      <c r="M7" s="54">
        <f>M6/L6-1</f>
        <v>2.5000000000000133E-2</v>
      </c>
      <c r="N7" s="54">
        <f>N6/M6-1</f>
        <v>2.4999999999999911E-2</v>
      </c>
      <c r="O7" s="55">
        <f>O6/N6-1</f>
        <v>2.4999999999999911E-2</v>
      </c>
    </row>
    <row r="8" spans="1:17" ht="5.0999999999999996" customHeight="1" x14ac:dyDescent="0.25">
      <c r="B8" s="48"/>
      <c r="C8" s="44"/>
      <c r="D8" s="45"/>
      <c r="E8" s="46"/>
      <c r="F8" s="46"/>
      <c r="G8" s="47"/>
      <c r="H8" s="46"/>
      <c r="I8" s="46"/>
      <c r="J8" s="46"/>
      <c r="K8" s="46"/>
      <c r="L8" s="46"/>
      <c r="M8" s="46"/>
      <c r="N8" s="46"/>
      <c r="O8" s="47"/>
    </row>
    <row r="9" spans="1:17" x14ac:dyDescent="0.25">
      <c r="B9" s="41" t="s">
        <v>14</v>
      </c>
      <c r="C9" s="42" t="s">
        <v>8</v>
      </c>
      <c r="D9" s="43">
        <f>D12</f>
        <v>9.6079119571683549</v>
      </c>
      <c r="E9" s="43">
        <f t="shared" ref="E9" si="3">E12</f>
        <v>9.8481097560975641</v>
      </c>
      <c r="F9" s="43">
        <f>F12+F15</f>
        <v>17.506556249999999</v>
      </c>
      <c r="G9" s="49">
        <f t="shared" ref="G9:O9" si="4">G12+G15</f>
        <v>17.614961158613603</v>
      </c>
      <c r="H9" s="43">
        <f t="shared" si="4"/>
        <v>17.79111077019974</v>
      </c>
      <c r="I9" s="43">
        <f t="shared" si="4"/>
        <v>17.924544100976238</v>
      </c>
      <c r="J9" s="43">
        <f t="shared" si="4"/>
        <v>18.058978181733565</v>
      </c>
      <c r="K9" s="43">
        <f t="shared" si="4"/>
        <v>18.055335187578944</v>
      </c>
      <c r="L9" s="43">
        <f t="shared" si="4"/>
        <v>18.506718567268415</v>
      </c>
      <c r="M9" s="43">
        <f t="shared" si="4"/>
        <v>18.969386531450127</v>
      </c>
      <c r="N9" s="43">
        <f t="shared" si="4"/>
        <v>19.443621194736377</v>
      </c>
      <c r="O9" s="49">
        <f t="shared" si="4"/>
        <v>19.929711724604786</v>
      </c>
    </row>
    <row r="10" spans="1:17" x14ac:dyDescent="0.25">
      <c r="B10" s="56" t="s">
        <v>9</v>
      </c>
      <c r="C10" s="24"/>
      <c r="D10" s="50">
        <v>0</v>
      </c>
      <c r="E10" s="51">
        <f>E9/D9-1</f>
        <v>2.5000000000000133E-2</v>
      </c>
      <c r="F10" s="51">
        <f>F9/E9-1</f>
        <v>0.77765649282702443</v>
      </c>
      <c r="G10" s="52">
        <v>0</v>
      </c>
      <c r="H10" s="51">
        <f>H9/G9-1</f>
        <v>1.0000000000000009E-2</v>
      </c>
      <c r="I10" s="51">
        <f>I9/H9-1</f>
        <v>7.5000000000000622E-3</v>
      </c>
      <c r="J10" s="51">
        <f>J9/I9-1</f>
        <v>7.5000000000002842E-3</v>
      </c>
      <c r="K10" s="51">
        <f>K9/F9-1</f>
        <v>3.1347052483777116E-2</v>
      </c>
      <c r="L10" s="51">
        <f>L9/K9-1</f>
        <v>2.4999999999999911E-2</v>
      </c>
      <c r="M10" s="51">
        <f>M9/L9-1</f>
        <v>2.5000000000000133E-2</v>
      </c>
      <c r="N10" s="51">
        <f>N9/M9-1</f>
        <v>2.4999999999999911E-2</v>
      </c>
      <c r="O10" s="52">
        <f>O9/N9-1</f>
        <v>2.4999999999999911E-2</v>
      </c>
    </row>
    <row r="11" spans="1:17" x14ac:dyDescent="0.25">
      <c r="B11" s="22"/>
      <c r="C11" s="21"/>
      <c r="D11" s="25"/>
      <c r="E11" s="25"/>
      <c r="F11" s="25"/>
      <c r="H11" s="25"/>
      <c r="I11" s="25"/>
      <c r="J11" s="25"/>
      <c r="K11" s="25"/>
      <c r="L11" s="25"/>
      <c r="M11" s="25"/>
      <c r="N11" s="25"/>
      <c r="O11" s="25"/>
    </row>
    <row r="12" spans="1:17" x14ac:dyDescent="0.25">
      <c r="B12" t="s">
        <v>11</v>
      </c>
      <c r="D12" s="30">
        <v>9.6079119571683549</v>
      </c>
      <c r="E12" s="30">
        <v>9.8481097560975641</v>
      </c>
      <c r="F12" s="30">
        <v>10.094312499999999</v>
      </c>
      <c r="G12" s="29">
        <v>10.156818969487947</v>
      </c>
      <c r="H12" s="28">
        <f>G12*(1+H13)</f>
        <v>10.258387159182826</v>
      </c>
      <c r="I12" s="28">
        <f t="shared" ref="I12:J12" si="5">H12*(1+I13)</f>
        <v>10.335325062876699</v>
      </c>
      <c r="J12" s="28">
        <f t="shared" si="5"/>
        <v>10.412840000848275</v>
      </c>
      <c r="K12" s="33">
        <f>G12*(1+K13)</f>
        <v>10.410739443725145</v>
      </c>
      <c r="L12" s="33">
        <f>K12*(1+L13)</f>
        <v>10.671007929818273</v>
      </c>
      <c r="M12" s="33">
        <f t="shared" ref="M12:O12" si="6">L12*(1+M13)</f>
        <v>10.93778312806373</v>
      </c>
      <c r="N12" s="33">
        <f t="shared" si="6"/>
        <v>11.211227706265323</v>
      </c>
      <c r="O12" s="33">
        <f t="shared" si="6"/>
        <v>11.491508398921955</v>
      </c>
      <c r="Q12" s="58"/>
    </row>
    <row r="13" spans="1:17" x14ac:dyDescent="0.25">
      <c r="B13" s="11" t="s">
        <v>9</v>
      </c>
      <c r="D13" s="31">
        <v>0</v>
      </c>
      <c r="E13" s="32">
        <f>E12/D12-1</f>
        <v>2.5000000000000133E-2</v>
      </c>
      <c r="F13" s="32">
        <f t="shared" ref="F13" si="7">F12/E12-1</f>
        <v>2.4999999999999689E-2</v>
      </c>
      <c r="G13" s="34">
        <v>0</v>
      </c>
      <c r="H13" s="36">
        <v>0.01</v>
      </c>
      <c r="I13" s="36">
        <v>7.4999999999999997E-3</v>
      </c>
      <c r="J13" s="36">
        <v>7.4999999999999997E-3</v>
      </c>
      <c r="K13" s="32">
        <f>H13+I13+J13</f>
        <v>2.5000000000000001E-2</v>
      </c>
      <c r="L13" s="35">
        <v>2.5000000000000001E-2</v>
      </c>
      <c r="M13" s="35">
        <v>2.5000000000000001E-2</v>
      </c>
      <c r="N13" s="35">
        <v>2.5000000000000001E-2</v>
      </c>
      <c r="O13" s="35">
        <v>2.5000000000000001E-2</v>
      </c>
    </row>
    <row r="15" spans="1:17" x14ac:dyDescent="0.25">
      <c r="B15" t="s">
        <v>13</v>
      </c>
      <c r="D15" s="30">
        <v>7.0550803093396794</v>
      </c>
      <c r="E15" s="30">
        <v>7.2314573170731711</v>
      </c>
      <c r="F15" s="30">
        <v>7.41224375</v>
      </c>
      <c r="G15" s="29">
        <v>7.458142189125657</v>
      </c>
      <c r="H15" s="28">
        <f>G15*(1+H16)</f>
        <v>7.5327236110169133</v>
      </c>
      <c r="I15" s="28">
        <f t="shared" ref="I15" si="8">H15*(1+I16)</f>
        <v>7.5892190380995403</v>
      </c>
      <c r="J15" s="28">
        <f t="shared" ref="J15" si="9">I15*(1+J16)</f>
        <v>7.6461381808852877</v>
      </c>
      <c r="K15" s="33">
        <f>G15*(1+K16)</f>
        <v>7.6445957438537979</v>
      </c>
      <c r="L15" s="33">
        <f>K15*(1+L16)</f>
        <v>7.8357106374501422</v>
      </c>
      <c r="M15" s="33">
        <f t="shared" ref="M15" si="10">L15*(1+M16)</f>
        <v>8.031603403386395</v>
      </c>
      <c r="N15" s="33">
        <f t="shared" ref="N15" si="11">M15*(1+N16)</f>
        <v>8.2323934884710539</v>
      </c>
      <c r="O15" s="33">
        <f t="shared" ref="O15" si="12">N15*(1+O16)</f>
        <v>8.4382033256828297</v>
      </c>
    </row>
    <row r="16" spans="1:17" x14ac:dyDescent="0.25">
      <c r="B16" s="11" t="s">
        <v>9</v>
      </c>
      <c r="D16" s="31">
        <v>0</v>
      </c>
      <c r="E16" s="32">
        <f>E15/D15-1</f>
        <v>2.4999999999999911E-2</v>
      </c>
      <c r="F16" s="32">
        <f t="shared" ref="F16" si="13">F15/E15-1</f>
        <v>2.4999999999999911E-2</v>
      </c>
      <c r="G16" s="34">
        <v>0</v>
      </c>
      <c r="H16" s="36">
        <v>0.01</v>
      </c>
      <c r="I16" s="36">
        <v>7.4999999999999997E-3</v>
      </c>
      <c r="J16" s="36">
        <v>7.4999999999999997E-3</v>
      </c>
      <c r="K16" s="32">
        <f>H16+I16+J16</f>
        <v>2.5000000000000001E-2</v>
      </c>
      <c r="L16" s="35">
        <v>2.5000000000000001E-2</v>
      </c>
      <c r="M16" s="35">
        <v>2.5000000000000001E-2</v>
      </c>
      <c r="N16" s="35">
        <v>2.5000000000000001E-2</v>
      </c>
      <c r="O16" s="35">
        <v>2.5000000000000001E-2</v>
      </c>
    </row>
    <row r="18" spans="2:15" x14ac:dyDescent="0.25">
      <c r="B18" t="s">
        <v>15</v>
      </c>
      <c r="D18" s="30">
        <v>1.5069999999999999</v>
      </c>
      <c r="E18" s="30">
        <v>1.498</v>
      </c>
      <c r="F18" s="30">
        <v>1.5249999999999999</v>
      </c>
      <c r="G18" s="29">
        <v>1.57</v>
      </c>
      <c r="H18" s="66"/>
    </row>
    <row r="19" spans="2:15" x14ac:dyDescent="0.25">
      <c r="B19" s="11" t="s">
        <v>9</v>
      </c>
      <c r="D19" s="59">
        <v>0</v>
      </c>
      <c r="E19" s="60">
        <f>E18/D18-1</f>
        <v>-5.9721300597211924E-3</v>
      </c>
      <c r="F19" s="60">
        <f t="shared" ref="F19" si="14">F18/E18-1</f>
        <v>1.8024032042723626E-2</v>
      </c>
      <c r="G19" s="61">
        <v>0</v>
      </c>
      <c r="H19" s="62"/>
      <c r="I19" s="62"/>
      <c r="J19" s="62"/>
      <c r="K19" s="59"/>
      <c r="L19" s="59"/>
      <c r="M19" s="59"/>
      <c r="N19" s="59"/>
      <c r="O19" s="59"/>
    </row>
    <row r="20" spans="2:15" x14ac:dyDescent="0.25">
      <c r="B20" s="11" t="s">
        <v>16</v>
      </c>
      <c r="D20" s="60">
        <f>D18/D9</f>
        <v>0.15684989690976969</v>
      </c>
      <c r="E20" s="60">
        <f t="shared" ref="E20:G20" si="15">E18/E9</f>
        <v>0.15211040870787382</v>
      </c>
      <c r="F20" s="60">
        <f t="shared" si="15"/>
        <v>8.7110221920430525E-2</v>
      </c>
      <c r="G20" s="63">
        <f t="shared" si="15"/>
        <v>8.9128780124064028E-2</v>
      </c>
      <c r="H20" s="64"/>
      <c r="I20" s="64"/>
      <c r="J20" s="64"/>
      <c r="K20" s="60"/>
      <c r="L20" s="60"/>
      <c r="M20" s="60"/>
      <c r="N20" s="60"/>
      <c r="O20" s="60"/>
    </row>
    <row r="21" spans="2:15" x14ac:dyDescent="0.25">
      <c r="B21" s="11"/>
    </row>
    <row r="22" spans="2:15" x14ac:dyDescent="0.25">
      <c r="B22" t="s">
        <v>18</v>
      </c>
      <c r="G22" s="29">
        <v>1.4550000000000001</v>
      </c>
    </row>
    <row r="23" spans="2:15" x14ac:dyDescent="0.25">
      <c r="B23" s="11" t="s">
        <v>9</v>
      </c>
      <c r="G23" s="61">
        <v>0</v>
      </c>
    </row>
    <row r="24" spans="2:15" x14ac:dyDescent="0.25">
      <c r="B24" s="11" t="s">
        <v>17</v>
      </c>
      <c r="G24" s="63">
        <f>G22/$G$18</f>
        <v>0.92675159235668791</v>
      </c>
    </row>
    <row r="25" spans="2:15" x14ac:dyDescent="0.25">
      <c r="B25" s="11" t="s">
        <v>20</v>
      </c>
      <c r="G25" s="63">
        <v>5.0000000000000001E-3</v>
      </c>
    </row>
    <row r="27" spans="2:15" x14ac:dyDescent="0.25">
      <c r="B27" s="65" t="s">
        <v>19</v>
      </c>
      <c r="G27" s="63"/>
    </row>
    <row r="28" spans="2:15" x14ac:dyDescent="0.25">
      <c r="B28" s="11" t="s">
        <v>9</v>
      </c>
      <c r="G28" s="61">
        <v>0</v>
      </c>
    </row>
    <row r="29" spans="2:15" x14ac:dyDescent="0.25">
      <c r="B29" s="11" t="s">
        <v>17</v>
      </c>
      <c r="G29" s="63">
        <f>G27/$G$18</f>
        <v>0</v>
      </c>
    </row>
    <row r="30" spans="2:15" x14ac:dyDescent="0.25">
      <c r="B30" s="11" t="s">
        <v>21</v>
      </c>
      <c r="G30" s="63">
        <v>2.5000000000000001E-3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Opearating Model</vt:lpstr>
      <vt:lpstr>Revenue Build</vt:lpstr>
      <vt:lpstr>Debt Build</vt:lpstr>
      <vt:lpstr>Comps</vt:lpstr>
      <vt:lpstr>VUM Build -- Ignore</vt:lpstr>
    </vt:vector>
  </TitlesOfParts>
  <Company>CI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Hastings, Benjamin</dc:creator>
  <cp:lastModifiedBy>Luckasavitch, Curtis</cp:lastModifiedBy>
  <dcterms:created xsi:type="dcterms:W3CDTF">2026-06-19T13:26:37Z</dcterms:created>
  <dcterms:modified xsi:type="dcterms:W3CDTF">2026-06-24T14:55:36Z</dcterms:modified>
</cp:coreProperties>
</file>